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6.기타 행정서류\"/>
    </mc:Choice>
  </mc:AlternateContent>
  <xr:revisionPtr revIDLastSave="0" documentId="13_ncr:1_{82A04FEA-6B48-4212-9CFE-1176B66A8E87}" xr6:coauthVersionLast="47" xr6:coauthVersionMax="47" xr10:uidLastSave="{00000000-0000-0000-0000-000000000000}"/>
  <bookViews>
    <workbookView xWindow="28680" yWindow="-120" windowWidth="29040" windowHeight="15720" xr2:uid="{0104648A-037E-47BB-8DB8-FDFFE62D9A30}"/>
  </bookViews>
  <sheets>
    <sheet name="성장포인트 적립 및 사용 신청서" sheetId="4" r:id="rId1"/>
  </sheets>
  <definedNames>
    <definedName name="_xlnm.Print_Area" localSheetId="0">'성장포인트 적립 및 사용 신청서'!$B$2:$M$49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4" l="1"/>
  <c r="I38" i="4"/>
  <c r="I37" i="4"/>
  <c r="I36" i="4"/>
  <c r="I22" i="4"/>
  <c r="I23" i="4"/>
  <c r="I24" i="4"/>
  <c r="I25" i="4"/>
  <c r="I26" i="4"/>
  <c r="I27" i="4"/>
  <c r="I28" i="4"/>
  <c r="I29" i="4"/>
  <c r="I30" i="4"/>
  <c r="I31" i="4"/>
  <c r="I21" i="4"/>
  <c r="I20" i="4"/>
  <c r="G44" i="4"/>
  <c r="G40" i="4" l="1"/>
  <c r="G32" i="4"/>
  <c r="G43" i="4" l="1"/>
</calcChain>
</file>

<file path=xl/sharedStrings.xml><?xml version="1.0" encoding="utf-8"?>
<sst xmlns="http://schemas.openxmlformats.org/spreadsheetml/2006/main" count="65" uniqueCount="54">
  <si>
    <t>VBIM Class 교육 이수</t>
    <phoneticPr fontId="2" type="noConversion"/>
  </si>
  <si>
    <t>허위 또는 부정확한 정보 제출로 인해 발생하는 불이익에 대해 책임을 질 것을 동의합니다.</t>
    <phoneticPr fontId="2" type="noConversion"/>
  </si>
  <si>
    <t>제출된 증빙 자료는 포인트 적립/사용과 인사 목적 외 다른 용도로 사용되지 않습니다.</t>
    <phoneticPr fontId="2" type="noConversion"/>
  </si>
  <si>
    <t>신청 내용은 관리자 검토 후 승인 절차를 거치며, 승인되지 않을 경우 포인트 적립/사용이 제한될 수 있음을 이해합니다.</t>
    <phoneticPr fontId="2" type="noConversion"/>
  </si>
  <si>
    <t>성장포인트 적립 및 사용 신청서</t>
    <phoneticPr fontId="2" type="noConversion"/>
  </si>
  <si>
    <t>회계, 세무, 영업관리, 마케팅 등 관련 1급</t>
  </si>
  <si>
    <t>BIM테크니션, BIM코디네이터, BIM전문가 2급</t>
  </si>
  <si>
    <t>BIM전문가 1급</t>
  </si>
  <si>
    <t>기능사</t>
  </si>
  <si>
    <t>산업기사</t>
  </si>
  <si>
    <t>기사</t>
  </si>
  <si>
    <t>교육참여</t>
    <phoneticPr fontId="2" type="noConversion"/>
  </si>
  <si>
    <t>건설근로자 기능등급제 경력증명서 제출</t>
    <phoneticPr fontId="2" type="noConversion"/>
  </si>
  <si>
    <t>자격증 취득</t>
    <phoneticPr fontId="2" type="noConversion"/>
  </si>
  <si>
    <t>2시간 이상</t>
    <phoneticPr fontId="2" type="noConversion"/>
  </si>
  <si>
    <t>5시간 이상</t>
    <phoneticPr fontId="2" type="noConversion"/>
  </si>
  <si>
    <t>응용 아이디어 제안서 제출</t>
    <phoneticPr fontId="2" type="noConversion"/>
  </si>
  <si>
    <t>10시간 이상</t>
    <phoneticPr fontId="2" type="noConversion"/>
  </si>
  <si>
    <t>에듀윌</t>
    <phoneticPr fontId="2" type="noConversion"/>
  </si>
  <si>
    <t>교보문고</t>
    <phoneticPr fontId="2" type="noConversion"/>
  </si>
  <si>
    <t>기프트카드 100,000원</t>
    <phoneticPr fontId="2" type="noConversion"/>
  </si>
  <si>
    <t>기프트카드 50,000원</t>
    <phoneticPr fontId="2" type="noConversion"/>
  </si>
  <si>
    <t>에듀머니 50,000원</t>
    <phoneticPr fontId="2" type="noConversion"/>
  </si>
  <si>
    <t>-</t>
  </si>
  <si>
    <t>사용 포인트</t>
    <phoneticPr fontId="2" type="noConversion"/>
  </si>
  <si>
    <t>에듀머니  100,000원</t>
    <phoneticPr fontId="2" type="noConversion"/>
  </si>
  <si>
    <t>적립 포인트</t>
    <phoneticPr fontId="2" type="noConversion"/>
  </si>
  <si>
    <t>(자격증or교육)명</t>
    <phoneticPr fontId="2" type="noConversion"/>
  </si>
  <si>
    <t>VBIM Class 4기</t>
    <phoneticPr fontId="2" type="noConversion"/>
  </si>
  <si>
    <t>적립 항목</t>
    <phoneticPr fontId="2" type="noConversion"/>
  </si>
  <si>
    <t>적립 항목 상세</t>
    <phoneticPr fontId="2" type="noConversion"/>
  </si>
  <si>
    <t>전산회계 1급</t>
    <phoneticPr fontId="2" type="noConversion"/>
  </si>
  <si>
    <t>A. 적립 포인트 합계</t>
    <phoneticPr fontId="2" type="noConversion"/>
  </si>
  <si>
    <t>B. 사용 포인트 합계</t>
    <phoneticPr fontId="2" type="noConversion"/>
  </si>
  <si>
    <t>팀</t>
    <phoneticPr fontId="2" type="noConversion"/>
  </si>
  <si>
    <t>직급/직위</t>
    <phoneticPr fontId="2" type="noConversion"/>
  </si>
  <si>
    <t>직무 유관
온/오프라인 교육 이수</t>
    <phoneticPr fontId="2" type="noConversion"/>
  </si>
  <si>
    <t>작  성  일</t>
    <phoneticPr fontId="2" type="noConversion"/>
  </si>
  <si>
    <t>그   룹</t>
    <phoneticPr fontId="2" type="noConversion"/>
  </si>
  <si>
    <t>C. 잔여 포인트 (A-B)</t>
    <phoneticPr fontId="2" type="noConversion"/>
  </si>
  <si>
    <t>D. 미사용 포인트</t>
    <phoneticPr fontId="2" type="noConversion"/>
  </si>
  <si>
    <t>본   부</t>
    <phoneticPr fontId="2" type="noConversion"/>
  </si>
  <si>
    <t>이   름</t>
    <phoneticPr fontId="2" type="noConversion"/>
  </si>
  <si>
    <t>※ 작성자 본인은 해당 신청 내용이 사실임을 확인합니다.</t>
    <phoneticPr fontId="2" type="noConversion"/>
  </si>
  <si>
    <t>(취득or이수)일</t>
    <phoneticPr fontId="2" type="noConversion"/>
  </si>
  <si>
    <t>증빙  첨부</t>
    <phoneticPr fontId="2" type="noConversion"/>
  </si>
  <si>
    <t>사용 항목</t>
    <phoneticPr fontId="2" type="noConversion"/>
  </si>
  <si>
    <t>4. 총합계(C+D)</t>
    <phoneticPr fontId="2" type="noConversion"/>
  </si>
  <si>
    <t>작  성  자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</si>
  <si>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1. 적립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</si>
  <si>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2. 사용</t>
    </r>
    <phoneticPr fontId="2" type="noConversion"/>
  </si>
  <si>
    <r>
      <t xml:space="preserve">작성자 본인은 상기와 같이 적립된 포인트를 
아래의 목적에 맞게 사용하는 것에 동의합니다.
</t>
    </r>
    <r>
      <rPr>
        <sz val="10"/>
        <color theme="1"/>
        <rFont val="맑은 고딕"/>
        <family val="3"/>
        <charset val="129"/>
        <scheme val="minor"/>
      </rPr>
      <t>• 학습을 위한 도서 및 교재 구입
• 개인 역량 강화를 위한 강의 수강
• 기타 온/오프라인 교육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</si>
  <si>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3. 잔여 및 미사용 포인트</t>
    </r>
    <phoneticPr fontId="2" type="noConversion"/>
  </si>
  <si>
    <t>작성자 본인은 해당  잔여 및 
미사용 포인트에 동의합니다.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</si>
</sst>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);[Red]\(#,##0\)"/>
    <numFmt numFmtId="177" formatCode="\x\ 0"/>
    <numFmt numFmtId="178" formatCode="#,##0_ 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indexed="64"/>
      </right>
      <top style="thin">
        <color theme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1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 style="thin">
        <color theme="1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theme="1"/>
      </right>
      <top style="hair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 style="thin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4" fillId="7" borderId="0" xfId="0" applyFont="1" applyFill="1" applyAlignment="1">
      <alignment horizontal="center" vertical="center"/>
    </xf>
    <xf numFmtId="0" fontId="3" fillId="7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41" fontId="3" fillId="0" borderId="0" xfId="1" applyFont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6" fillId="7" borderId="0" xfId="0" applyFont="1" applyFill="1">
      <alignment vertical="center"/>
    </xf>
    <xf numFmtId="0" fontId="6" fillId="7" borderId="0" xfId="0" applyFont="1" applyFill="1" applyAlignment="1">
      <alignment horizontal="left" vertical="center" indent="1"/>
    </xf>
    <xf numFmtId="0" fontId="3" fillId="0" borderId="0" xfId="0" applyFo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41" fontId="3" fillId="7" borderId="29" xfId="1" applyFont="1" applyFill="1" applyBorder="1" applyAlignment="1">
      <alignment vertical="center"/>
    </xf>
    <xf numFmtId="177" fontId="3" fillId="7" borderId="30" xfId="0" applyNumberFormat="1" applyFont="1" applyFill="1" applyBorder="1" applyAlignment="1">
      <alignment horizontal="center" vertical="center"/>
    </xf>
    <xf numFmtId="41" fontId="3" fillId="3" borderId="31" xfId="0" applyNumberFormat="1" applyFont="1" applyFill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14" fontId="3" fillId="7" borderId="30" xfId="0" applyNumberFormat="1" applyFont="1" applyFill="1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176" fontId="3" fillId="7" borderId="0" xfId="1" applyNumberFormat="1" applyFont="1" applyFill="1" applyBorder="1" applyAlignment="1">
      <alignment vertical="center"/>
    </xf>
    <xf numFmtId="0" fontId="3" fillId="7" borderId="28" xfId="0" applyFont="1" applyFill="1" applyBorder="1" applyAlignment="1">
      <alignment horizontal="center" vertical="center"/>
    </xf>
    <xf numFmtId="41" fontId="3" fillId="7" borderId="32" xfId="1" applyFont="1" applyFill="1" applyBorder="1" applyAlignment="1">
      <alignment vertical="center"/>
    </xf>
    <xf numFmtId="177" fontId="3" fillId="7" borderId="28" xfId="0" applyNumberFormat="1" applyFont="1" applyFill="1" applyBorder="1" applyAlignment="1">
      <alignment horizontal="center" vertical="center"/>
    </xf>
    <xf numFmtId="41" fontId="3" fillId="3" borderId="33" xfId="0" applyNumberFormat="1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horizontal="center" vertical="center"/>
    </xf>
    <xf numFmtId="0" fontId="3" fillId="7" borderId="59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left" vertical="center"/>
    </xf>
    <xf numFmtId="0" fontId="3" fillId="7" borderId="35" xfId="0" applyFont="1" applyFill="1" applyBorder="1" applyAlignment="1">
      <alignment horizontal="center" vertical="center"/>
    </xf>
    <xf numFmtId="41" fontId="3" fillId="7" borderId="55" xfId="1" applyFont="1" applyFill="1" applyBorder="1" applyAlignment="1">
      <alignment vertical="center"/>
    </xf>
    <xf numFmtId="177" fontId="3" fillId="7" borderId="56" xfId="0" applyNumberFormat="1" applyFont="1" applyFill="1" applyBorder="1" applyAlignment="1">
      <alignment horizontal="center" vertical="center"/>
    </xf>
    <xf numFmtId="41" fontId="3" fillId="3" borderId="65" xfId="0" applyNumberFormat="1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14" fontId="3" fillId="7" borderId="35" xfId="0" applyNumberFormat="1" applyFont="1" applyFill="1" applyBorder="1" applyAlignment="1">
      <alignment horizontal="center" vertical="center"/>
    </xf>
    <xf numFmtId="0" fontId="3" fillId="7" borderId="60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41" fontId="3" fillId="7" borderId="0" xfId="1" applyFont="1" applyFill="1" applyBorder="1" applyAlignment="1">
      <alignment vertical="center"/>
    </xf>
    <xf numFmtId="177" fontId="3" fillId="7" borderId="0" xfId="0" applyNumberFormat="1" applyFont="1" applyFill="1" applyAlignment="1">
      <alignment horizontal="center" vertical="center"/>
    </xf>
    <xf numFmtId="41" fontId="3" fillId="7" borderId="0" xfId="0" applyNumberFormat="1" applyFont="1" applyFill="1" applyAlignment="1">
      <alignment horizontal="center" vertical="center"/>
    </xf>
    <xf numFmtId="41" fontId="3" fillId="7" borderId="51" xfId="1" applyFont="1" applyFill="1" applyBorder="1" applyAlignment="1">
      <alignment vertical="center"/>
    </xf>
    <xf numFmtId="177" fontId="3" fillId="7" borderId="52" xfId="0" applyNumberFormat="1" applyFont="1" applyFill="1" applyBorder="1" applyAlignment="1">
      <alignment horizontal="center" vertical="center"/>
    </xf>
    <xf numFmtId="177" fontId="3" fillId="7" borderId="61" xfId="0" applyNumberFormat="1" applyFont="1" applyFill="1" applyBorder="1" applyAlignment="1">
      <alignment horizontal="center" vertical="center"/>
    </xf>
    <xf numFmtId="0" fontId="3" fillId="7" borderId="5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 inden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178" fontId="5" fillId="3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78" fontId="5" fillId="3" borderId="62" xfId="0" applyNumberFormat="1" applyFont="1" applyFill="1" applyBorder="1" applyAlignment="1">
      <alignment horizontal="center" vertical="center"/>
    </xf>
    <xf numFmtId="178" fontId="5" fillId="3" borderId="63" xfId="0" applyNumberFormat="1" applyFont="1" applyFill="1" applyBorder="1" applyAlignment="1">
      <alignment horizontal="center" vertical="center"/>
    </xf>
    <xf numFmtId="178" fontId="5" fillId="3" borderId="64" xfId="0" applyNumberFormat="1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left" vertical="center"/>
    </xf>
    <xf numFmtId="0" fontId="7" fillId="7" borderId="38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left" vertical="center" wrapText="1" indent="1"/>
    </xf>
    <xf numFmtId="0" fontId="3" fillId="7" borderId="30" xfId="0" applyFont="1" applyFill="1" applyBorder="1" applyAlignment="1">
      <alignment horizontal="left" vertical="center" wrapText="1" indent="1"/>
    </xf>
    <xf numFmtId="0" fontId="3" fillId="7" borderId="31" xfId="0" applyFont="1" applyFill="1" applyBorder="1" applyAlignment="1">
      <alignment horizontal="left" vertical="center" wrapText="1" indent="1"/>
    </xf>
    <xf numFmtId="0" fontId="3" fillId="7" borderId="32" xfId="0" applyFont="1" applyFill="1" applyBorder="1" applyAlignment="1">
      <alignment horizontal="left" vertical="center" wrapText="1" indent="1"/>
    </xf>
    <xf numFmtId="0" fontId="3" fillId="7" borderId="28" xfId="0" applyFont="1" applyFill="1" applyBorder="1" applyAlignment="1">
      <alignment horizontal="left" vertical="center" wrapText="1" indent="1"/>
    </xf>
    <xf numFmtId="0" fontId="3" fillId="7" borderId="33" xfId="0" applyFont="1" applyFill="1" applyBorder="1" applyAlignment="1">
      <alignment horizontal="left" vertical="center" wrapText="1" indent="1"/>
    </xf>
    <xf numFmtId="0" fontId="3" fillId="7" borderId="34" xfId="0" applyFont="1" applyFill="1" applyBorder="1" applyAlignment="1">
      <alignment horizontal="left" vertical="center" wrapText="1" indent="1"/>
    </xf>
    <xf numFmtId="0" fontId="3" fillId="7" borderId="35" xfId="0" applyFont="1" applyFill="1" applyBorder="1" applyAlignment="1">
      <alignment horizontal="left" vertical="center" wrapText="1" indent="1"/>
    </xf>
    <xf numFmtId="0" fontId="3" fillId="7" borderId="36" xfId="0" applyFont="1" applyFill="1" applyBorder="1" applyAlignment="1">
      <alignment horizontal="left" vertical="center" wrapText="1" indent="1"/>
    </xf>
    <xf numFmtId="0" fontId="5" fillId="5" borderId="48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178" fontId="5" fillId="3" borderId="48" xfId="0" applyNumberFormat="1" applyFont="1" applyFill="1" applyBorder="1" applyAlignment="1">
      <alignment horizontal="center" vertical="center"/>
    </xf>
    <xf numFmtId="178" fontId="5" fillId="3" borderId="49" xfId="0" applyNumberFormat="1" applyFont="1" applyFill="1" applyBorder="1" applyAlignment="1">
      <alignment horizontal="center" vertical="center"/>
    </xf>
    <xf numFmtId="178" fontId="5" fillId="3" borderId="50" xfId="0" applyNumberFormat="1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left" vertical="center"/>
    </xf>
    <xf numFmtId="0" fontId="7" fillId="7" borderId="57" xfId="0" applyFont="1" applyFill="1" applyBorder="1" applyAlignment="1">
      <alignment horizontal="left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left" vertical="center"/>
    </xf>
    <xf numFmtId="0" fontId="3" fillId="7" borderId="39" xfId="0" applyFont="1" applyFill="1" applyBorder="1" applyAlignment="1">
      <alignment horizontal="left" vertical="center"/>
    </xf>
    <xf numFmtId="0" fontId="3" fillId="7" borderId="28" xfId="0" applyFont="1" applyFill="1" applyBorder="1" applyAlignment="1">
      <alignment horizontal="left" vertical="center"/>
    </xf>
    <xf numFmtId="0" fontId="3" fillId="7" borderId="38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14" fontId="3" fillId="7" borderId="26" xfId="0" applyNumberFormat="1" applyFont="1" applyFill="1" applyBorder="1" applyAlignment="1">
      <alignment horizontal="center" vertical="center"/>
    </xf>
    <xf numFmtId="14" fontId="3" fillId="7" borderId="27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51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left" vertical="center"/>
    </xf>
    <xf numFmtId="0" fontId="7" fillId="7" borderId="53" xfId="0" applyFont="1" applyFill="1" applyBorder="1" applyAlignment="1">
      <alignment horizontal="left" vertical="center"/>
    </xf>
    <xf numFmtId="0" fontId="7" fillId="7" borderId="30" xfId="0" applyFont="1" applyFill="1" applyBorder="1" applyAlignment="1">
      <alignment horizontal="left" vertical="center"/>
    </xf>
    <xf numFmtId="0" fontId="7" fillId="7" borderId="37" xfId="0" applyFont="1" applyFill="1" applyBorder="1" applyAlignment="1">
      <alignment horizontal="left" vertical="center"/>
    </xf>
    <xf numFmtId="0" fontId="3" fillId="7" borderId="29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 wrapText="1"/>
    </xf>
    <xf numFmtId="0" fontId="7" fillId="7" borderId="28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4</xdr:col>
      <xdr:colOff>942975</xdr:colOff>
      <xdr:row>4</xdr:row>
      <xdr:rowOff>9524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D4019C0-A6E9-7C4D-F56F-A66A8A4B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90525"/>
          <a:ext cx="25622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504825</xdr:colOff>
      <xdr:row>2</xdr:row>
      <xdr:rowOff>0</xdr:rowOff>
    </xdr:from>
    <xdr:to>
      <xdr:col>12</xdr:col>
      <xdr:colOff>0</xdr:colOff>
      <xdr:row>4</xdr:row>
      <xdr:rowOff>9524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1B7A96E-D6A8-EF24-8051-37259200E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390525"/>
          <a:ext cx="2562225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19</xdr:row>
          <xdr:rowOff>0</xdr:rowOff>
        </xdr:from>
        <xdr:to>
          <xdr:col>3</xdr:col>
          <xdr:colOff>342900</xdr:colOff>
          <xdr:row>20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20</xdr:row>
          <xdr:rowOff>0</xdr:rowOff>
        </xdr:from>
        <xdr:to>
          <xdr:col>3</xdr:col>
          <xdr:colOff>342900</xdr:colOff>
          <xdr:row>21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21</xdr:row>
          <xdr:rowOff>0</xdr:rowOff>
        </xdr:from>
        <xdr:to>
          <xdr:col>3</xdr:col>
          <xdr:colOff>342900</xdr:colOff>
          <xdr:row>22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22</xdr:row>
          <xdr:rowOff>0</xdr:rowOff>
        </xdr:from>
        <xdr:to>
          <xdr:col>3</xdr:col>
          <xdr:colOff>342900</xdr:colOff>
          <xdr:row>23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23</xdr:row>
          <xdr:rowOff>0</xdr:rowOff>
        </xdr:from>
        <xdr:to>
          <xdr:col>3</xdr:col>
          <xdr:colOff>342900</xdr:colOff>
          <xdr:row>24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24</xdr:row>
          <xdr:rowOff>0</xdr:rowOff>
        </xdr:from>
        <xdr:to>
          <xdr:col>3</xdr:col>
          <xdr:colOff>342900</xdr:colOff>
          <xdr:row>25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25</xdr:row>
          <xdr:rowOff>0</xdr:rowOff>
        </xdr:from>
        <xdr:to>
          <xdr:col>3</xdr:col>
          <xdr:colOff>342900</xdr:colOff>
          <xdr:row>26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26</xdr:row>
          <xdr:rowOff>0</xdr:rowOff>
        </xdr:from>
        <xdr:to>
          <xdr:col>3</xdr:col>
          <xdr:colOff>342900</xdr:colOff>
          <xdr:row>27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27</xdr:row>
          <xdr:rowOff>0</xdr:rowOff>
        </xdr:from>
        <xdr:to>
          <xdr:col>3</xdr:col>
          <xdr:colOff>342900</xdr:colOff>
          <xdr:row>28</xdr:row>
          <xdr:rowOff>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28</xdr:row>
          <xdr:rowOff>0</xdr:rowOff>
        </xdr:from>
        <xdr:to>
          <xdr:col>3</xdr:col>
          <xdr:colOff>342900</xdr:colOff>
          <xdr:row>29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29</xdr:row>
          <xdr:rowOff>0</xdr:rowOff>
        </xdr:from>
        <xdr:to>
          <xdr:col>3</xdr:col>
          <xdr:colOff>342900</xdr:colOff>
          <xdr:row>30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30</xdr:row>
          <xdr:rowOff>0</xdr:rowOff>
        </xdr:from>
        <xdr:to>
          <xdr:col>3</xdr:col>
          <xdr:colOff>342900</xdr:colOff>
          <xdr:row>31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19</xdr:row>
          <xdr:rowOff>0</xdr:rowOff>
        </xdr:from>
        <xdr:to>
          <xdr:col>11</xdr:col>
          <xdr:colOff>533400</xdr:colOff>
          <xdr:row>20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20</xdr:row>
          <xdr:rowOff>0</xdr:rowOff>
        </xdr:from>
        <xdr:to>
          <xdr:col>11</xdr:col>
          <xdr:colOff>533400</xdr:colOff>
          <xdr:row>21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21</xdr:row>
          <xdr:rowOff>0</xdr:rowOff>
        </xdr:from>
        <xdr:to>
          <xdr:col>11</xdr:col>
          <xdr:colOff>533400</xdr:colOff>
          <xdr:row>22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22</xdr:row>
          <xdr:rowOff>0</xdr:rowOff>
        </xdr:from>
        <xdr:to>
          <xdr:col>11</xdr:col>
          <xdr:colOff>533400</xdr:colOff>
          <xdr:row>23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23</xdr:row>
          <xdr:rowOff>0</xdr:rowOff>
        </xdr:from>
        <xdr:to>
          <xdr:col>11</xdr:col>
          <xdr:colOff>533400</xdr:colOff>
          <xdr:row>24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24</xdr:row>
          <xdr:rowOff>0</xdr:rowOff>
        </xdr:from>
        <xdr:to>
          <xdr:col>11</xdr:col>
          <xdr:colOff>533400</xdr:colOff>
          <xdr:row>25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25</xdr:row>
          <xdr:rowOff>0</xdr:rowOff>
        </xdr:from>
        <xdr:to>
          <xdr:col>11</xdr:col>
          <xdr:colOff>533400</xdr:colOff>
          <xdr:row>26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26</xdr:row>
          <xdr:rowOff>0</xdr:rowOff>
        </xdr:from>
        <xdr:to>
          <xdr:col>11</xdr:col>
          <xdr:colOff>533400</xdr:colOff>
          <xdr:row>27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27</xdr:row>
          <xdr:rowOff>0</xdr:rowOff>
        </xdr:from>
        <xdr:to>
          <xdr:col>11</xdr:col>
          <xdr:colOff>533400</xdr:colOff>
          <xdr:row>28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28</xdr:row>
          <xdr:rowOff>0</xdr:rowOff>
        </xdr:from>
        <xdr:to>
          <xdr:col>11</xdr:col>
          <xdr:colOff>533400</xdr:colOff>
          <xdr:row>29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29</xdr:row>
          <xdr:rowOff>0</xdr:rowOff>
        </xdr:from>
        <xdr:to>
          <xdr:col>11</xdr:col>
          <xdr:colOff>533400</xdr:colOff>
          <xdr:row>30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304800</xdr:colOff>
          <xdr:row>30</xdr:row>
          <xdr:rowOff>0</xdr:rowOff>
        </xdr:from>
        <xdr:to>
          <xdr:col>11</xdr:col>
          <xdr:colOff>533400</xdr:colOff>
          <xdr:row>31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35</xdr:row>
          <xdr:rowOff>0</xdr:rowOff>
        </xdr:from>
        <xdr:to>
          <xdr:col>3</xdr:col>
          <xdr:colOff>342900</xdr:colOff>
          <xdr:row>36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36</xdr:row>
          <xdr:rowOff>0</xdr:rowOff>
        </xdr:from>
        <xdr:to>
          <xdr:col>3</xdr:col>
          <xdr:colOff>342900</xdr:colOff>
          <xdr:row>37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37</xdr:row>
          <xdr:rowOff>0</xdr:rowOff>
        </xdr:from>
        <xdr:to>
          <xdr:col>3</xdr:col>
          <xdr:colOff>342900</xdr:colOff>
          <xdr:row>38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38</xdr:row>
          <xdr:rowOff>0</xdr:rowOff>
        </xdr:from>
        <xdr:to>
          <xdr:col>3</xdr:col>
          <xdr:colOff>342900</xdr:colOff>
          <xdr:row>39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545335</xdr:colOff>
      <xdr:row>46</xdr:row>
      <xdr:rowOff>152233</xdr:rowOff>
    </xdr:from>
    <xdr:to>
      <xdr:col>11</xdr:col>
      <xdr:colOff>784412</xdr:colOff>
      <xdr:row>48</xdr:row>
      <xdr:rowOff>75022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B36EF2C-E391-477D-9521-3CDF1CD65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8335" y="13957880"/>
          <a:ext cx="1292430" cy="427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903D-DADA-41FF-93C3-6958884B69BD}">
  <sheetPr>
    <pageSetUpPr fitToPage="1"/>
  </sheetPr>
  <dimension ref="A1:Q47"/>
  <sheetViews>
    <sheetView showGridLines="0" tabSelected="1" view="pageBreakPreview" zoomScale="85" zoomScaleNormal="100" zoomScaleSheetLayoutView="85" workbookViewId="0">
      <selection activeCell="C7" sqref="C7:J7"/>
    </sheetView>
  </sheetViews>
  <sheetFormatPr defaultRowHeight="16.5" x14ac:dyDescent="0.3"/>
  <cols>
    <col min="1" max="1" width="1.5" style="1" customWidth="1"/>
    <col min="2" max="2" width="2.625" style="1" customWidth="1"/>
    <col min="3" max="3" width="15.625" style="1" customWidth="1"/>
    <col min="4" max="4" width="5.625" style="1" customWidth="1"/>
    <col min="5" max="5" width="20.625" style="1" customWidth="1"/>
    <col min="6" max="6" width="21.75" style="1" customWidth="1"/>
    <col min="7" max="9" width="10.625" style="1" customWidth="1"/>
    <col min="10" max="10" width="15.625" style="1" bestFit="1" customWidth="1"/>
    <col min="11" max="11" width="13.75" style="1" bestFit="1" customWidth="1"/>
    <col min="12" max="12" width="10.875" style="1" customWidth="1"/>
    <col min="13" max="13" width="2.625" style="1" customWidth="1"/>
    <col min="14" max="15" width="9" style="1"/>
    <col min="16" max="16" width="36.375" style="1" customWidth="1"/>
    <col min="17" max="17" width="9.25" style="1" bestFit="1" customWidth="1"/>
    <col min="18" max="16384" width="9" style="1"/>
  </cols>
  <sheetData>
    <row r="1" spans="2:17" ht="11.25" customHeight="1" x14ac:dyDescent="0.3"/>
    <row r="2" spans="2:17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7" ht="19.5" customHeight="1" x14ac:dyDescent="0.3">
      <c r="B3" s="2"/>
      <c r="C3" s="127" t="s">
        <v>4</v>
      </c>
      <c r="D3" s="127"/>
      <c r="E3" s="127"/>
      <c r="F3" s="127"/>
      <c r="G3" s="127"/>
      <c r="H3" s="127"/>
      <c r="I3" s="127"/>
      <c r="J3" s="127"/>
      <c r="K3" s="127"/>
      <c r="L3" s="127"/>
      <c r="M3" s="3"/>
    </row>
    <row r="4" spans="2:17" ht="67.5" customHeight="1" x14ac:dyDescent="0.3">
      <c r="B4" s="2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3"/>
    </row>
    <row r="5" spans="2:17" ht="23.1" customHeight="1" x14ac:dyDescent="0.3">
      <c r="B5" s="2"/>
      <c r="C5" s="4"/>
      <c r="D5" s="4"/>
      <c r="E5" s="4"/>
      <c r="F5" s="4"/>
      <c r="G5" s="4"/>
      <c r="H5" s="4"/>
      <c r="I5" s="4"/>
      <c r="J5" s="4"/>
      <c r="K5" s="4"/>
      <c r="L5" s="4"/>
      <c r="M5" s="3"/>
    </row>
    <row r="6" spans="2:17" ht="23.1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7" ht="23.1" customHeight="1" x14ac:dyDescent="0.3">
      <c r="B7" s="2"/>
      <c r="C7" s="119" t="s">
        <v>48</v>
      </c>
      <c r="D7" s="120"/>
      <c r="E7" s="120"/>
      <c r="F7" s="120"/>
      <c r="G7" s="120"/>
      <c r="H7" s="120"/>
      <c r="I7" s="120"/>
      <c r="J7" s="121"/>
      <c r="K7" s="119" t="s">
        <v>37</v>
      </c>
      <c r="L7" s="122"/>
      <c r="M7" s="5"/>
      <c r="O7" s="6"/>
      <c r="P7" s="6"/>
      <c r="Q7" s="7"/>
    </row>
    <row r="8" spans="2:17" ht="23.1" customHeight="1" x14ac:dyDescent="0.3">
      <c r="B8" s="2"/>
      <c r="C8" s="123" t="s">
        <v>41</v>
      </c>
      <c r="D8" s="99"/>
      <c r="E8" s="8" t="s">
        <v>38</v>
      </c>
      <c r="F8" s="8" t="s">
        <v>34</v>
      </c>
      <c r="G8" s="99" t="s">
        <v>35</v>
      </c>
      <c r="H8" s="99"/>
      <c r="I8" s="99" t="s">
        <v>42</v>
      </c>
      <c r="J8" s="128"/>
      <c r="K8" s="123"/>
      <c r="L8" s="124"/>
      <c r="M8" s="5"/>
      <c r="O8" s="6"/>
      <c r="P8" s="6"/>
      <c r="Q8" s="7"/>
    </row>
    <row r="9" spans="2:17" ht="23.1" customHeight="1" x14ac:dyDescent="0.3">
      <c r="B9" s="2"/>
      <c r="C9" s="129"/>
      <c r="D9" s="105"/>
      <c r="E9" s="9"/>
      <c r="F9" s="9"/>
      <c r="G9" s="104"/>
      <c r="H9" s="105"/>
      <c r="I9" s="103"/>
      <c r="J9" s="104"/>
      <c r="K9" s="125"/>
      <c r="L9" s="126"/>
      <c r="M9" s="5"/>
      <c r="Q9" s="7"/>
    </row>
    <row r="10" spans="2:17" ht="23.1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10"/>
      <c r="L10" s="10"/>
      <c r="M10" s="5"/>
      <c r="Q10" s="7"/>
    </row>
    <row r="11" spans="2:17" ht="23.1" customHeight="1" x14ac:dyDescent="0.3">
      <c r="B11" s="2"/>
      <c r="C11" s="5"/>
      <c r="D11" s="5"/>
      <c r="E11" s="5"/>
      <c r="F11" s="5"/>
      <c r="G11" s="5"/>
      <c r="H11" s="2"/>
      <c r="I11" s="2"/>
      <c r="J11" s="2"/>
      <c r="K11" s="2"/>
      <c r="L11" s="5"/>
      <c r="M11" s="2"/>
      <c r="Q11" s="7"/>
    </row>
    <row r="12" spans="2:17" ht="23.1" customHeight="1" x14ac:dyDescent="0.3">
      <c r="B12" s="2"/>
      <c r="C12" s="11" t="s">
        <v>43</v>
      </c>
      <c r="D12" s="5"/>
      <c r="E12" s="5"/>
      <c r="F12" s="5"/>
      <c r="G12" s="5"/>
      <c r="H12" s="2"/>
      <c r="I12" s="2"/>
      <c r="J12" s="2"/>
      <c r="K12" s="2"/>
      <c r="L12" s="5"/>
      <c r="M12" s="2"/>
      <c r="Q12" s="7"/>
    </row>
    <row r="13" spans="2:17" ht="23.1" customHeight="1" x14ac:dyDescent="0.3">
      <c r="B13" s="2"/>
      <c r="C13" s="12" t="s">
        <v>1</v>
      </c>
      <c r="D13" s="5"/>
      <c r="E13" s="5"/>
      <c r="F13" s="5"/>
      <c r="G13" s="5"/>
      <c r="H13" s="2"/>
      <c r="I13" s="2"/>
      <c r="J13" s="2"/>
      <c r="K13" s="2"/>
      <c r="L13" s="5"/>
      <c r="M13" s="2"/>
      <c r="Q13" s="7"/>
    </row>
    <row r="14" spans="2:17" ht="23.1" customHeight="1" x14ac:dyDescent="0.3">
      <c r="B14" s="2"/>
      <c r="C14" s="12" t="s">
        <v>2</v>
      </c>
      <c r="D14" s="5"/>
      <c r="E14" s="5"/>
      <c r="F14" s="5"/>
      <c r="G14" s="5"/>
      <c r="H14" s="2"/>
      <c r="I14" s="2"/>
      <c r="J14" s="2"/>
      <c r="K14" s="2"/>
      <c r="L14" s="5"/>
      <c r="M14" s="2"/>
      <c r="Q14" s="7"/>
    </row>
    <row r="15" spans="2:17" ht="23.1" customHeight="1" x14ac:dyDescent="0.3">
      <c r="B15" s="2"/>
      <c r="C15" s="12" t="s">
        <v>3</v>
      </c>
      <c r="D15" s="5"/>
      <c r="E15" s="5"/>
      <c r="F15" s="5"/>
      <c r="G15" s="5"/>
      <c r="H15" s="2"/>
      <c r="I15" s="2"/>
      <c r="J15" s="2"/>
      <c r="K15" s="2"/>
      <c r="L15" s="5"/>
      <c r="M15" s="2"/>
      <c r="Q15" s="7"/>
    </row>
    <row r="16" spans="2:17" ht="23.1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P16" s="6"/>
      <c r="Q16" s="7"/>
    </row>
    <row r="17" spans="1:17" ht="23.1" customHeight="1" x14ac:dyDescent="0.3">
      <c r="A17" s="2"/>
      <c r="B17" s="2"/>
      <c r="C17" s="94" t="s">
        <v>49</v>
      </c>
      <c r="D17" s="95"/>
      <c r="E17" s="95"/>
      <c r="F17" s="95"/>
      <c r="G17" s="96"/>
      <c r="H17" s="96"/>
      <c r="I17" s="96"/>
      <c r="J17" s="95"/>
      <c r="K17" s="95"/>
      <c r="L17" s="97"/>
      <c r="M17" s="5"/>
      <c r="P17" s="6"/>
      <c r="Q17" s="7"/>
    </row>
    <row r="18" spans="1:17" ht="23.1" customHeight="1" x14ac:dyDescent="0.3">
      <c r="A18" s="2"/>
      <c r="B18" s="2"/>
      <c r="C18" s="68" t="s">
        <v>29</v>
      </c>
      <c r="D18" s="69"/>
      <c r="E18" s="69"/>
      <c r="F18" s="70"/>
      <c r="G18" s="62" t="s">
        <v>26</v>
      </c>
      <c r="H18" s="63"/>
      <c r="I18" s="64"/>
      <c r="J18" s="54" t="s">
        <v>30</v>
      </c>
      <c r="K18" s="54"/>
      <c r="L18" s="55"/>
      <c r="M18" s="5"/>
      <c r="N18" s="13"/>
      <c r="P18" s="6"/>
      <c r="Q18" s="7"/>
    </row>
    <row r="19" spans="1:17" ht="23.1" customHeight="1" x14ac:dyDescent="0.3">
      <c r="A19" s="2"/>
      <c r="B19" s="2"/>
      <c r="C19" s="71"/>
      <c r="D19" s="66"/>
      <c r="E19" s="66"/>
      <c r="F19" s="72"/>
      <c r="G19" s="65"/>
      <c r="H19" s="66"/>
      <c r="I19" s="67"/>
      <c r="J19" s="15" t="s">
        <v>27</v>
      </c>
      <c r="K19" s="14" t="s">
        <v>44</v>
      </c>
      <c r="L19" s="16" t="s">
        <v>45</v>
      </c>
      <c r="M19" s="5"/>
      <c r="N19" s="13"/>
      <c r="P19" s="6"/>
      <c r="Q19" s="7"/>
    </row>
    <row r="20" spans="1:17" ht="23.1" customHeight="1" x14ac:dyDescent="0.3">
      <c r="A20" s="2"/>
      <c r="B20" s="2"/>
      <c r="C20" s="136" t="s">
        <v>13</v>
      </c>
      <c r="D20" s="17"/>
      <c r="E20" s="134" t="s">
        <v>5</v>
      </c>
      <c r="F20" s="135"/>
      <c r="G20" s="18">
        <v>50000</v>
      </c>
      <c r="H20" s="19">
        <v>1</v>
      </c>
      <c r="I20" s="20">
        <f>IF(H20=0,0,G20*H20)</f>
        <v>50000</v>
      </c>
      <c r="J20" s="21" t="s">
        <v>31</v>
      </c>
      <c r="K20" s="22">
        <v>45781</v>
      </c>
      <c r="L20" s="23"/>
      <c r="M20" s="24"/>
      <c r="P20" s="6"/>
      <c r="Q20" s="7"/>
    </row>
    <row r="21" spans="1:17" ht="23.1" customHeight="1" x14ac:dyDescent="0.3">
      <c r="A21" s="2"/>
      <c r="B21" s="2"/>
      <c r="C21" s="131"/>
      <c r="D21" s="25"/>
      <c r="E21" s="78" t="s">
        <v>6</v>
      </c>
      <c r="F21" s="79"/>
      <c r="G21" s="26">
        <v>50000</v>
      </c>
      <c r="H21" s="27" t="s">
        <v>23</v>
      </c>
      <c r="I21" s="28">
        <f>IF(H21="-",0,G21*H21)</f>
        <v>0</v>
      </c>
      <c r="J21" s="29"/>
      <c r="K21" s="25"/>
      <c r="L21" s="30"/>
      <c r="M21" s="5"/>
      <c r="P21" s="6"/>
      <c r="Q21" s="7"/>
    </row>
    <row r="22" spans="1:17" ht="23.1" customHeight="1" x14ac:dyDescent="0.3">
      <c r="A22" s="2"/>
      <c r="B22" s="2"/>
      <c r="C22" s="131"/>
      <c r="D22" s="25"/>
      <c r="E22" s="78" t="s">
        <v>7</v>
      </c>
      <c r="F22" s="79"/>
      <c r="G22" s="26">
        <v>100000</v>
      </c>
      <c r="H22" s="27" t="s">
        <v>23</v>
      </c>
      <c r="I22" s="28">
        <f t="shared" ref="I22:I31" si="0">IF(H22="-",0,G22*H22)</f>
        <v>0</v>
      </c>
      <c r="J22" s="29"/>
      <c r="K22" s="25"/>
      <c r="L22" s="30"/>
      <c r="M22" s="5"/>
      <c r="P22" s="6"/>
      <c r="Q22" s="7"/>
    </row>
    <row r="23" spans="1:17" ht="23.1" customHeight="1" x14ac:dyDescent="0.3">
      <c r="A23" s="2"/>
      <c r="B23" s="2"/>
      <c r="C23" s="131"/>
      <c r="D23" s="25"/>
      <c r="E23" s="78" t="s">
        <v>8</v>
      </c>
      <c r="F23" s="79"/>
      <c r="G23" s="26">
        <v>50000</v>
      </c>
      <c r="H23" s="27" t="s">
        <v>23</v>
      </c>
      <c r="I23" s="28">
        <f t="shared" si="0"/>
        <v>0</v>
      </c>
      <c r="J23" s="29"/>
      <c r="K23" s="25"/>
      <c r="L23" s="30"/>
      <c r="M23" s="5"/>
      <c r="P23" s="6"/>
      <c r="Q23" s="7"/>
    </row>
    <row r="24" spans="1:17" ht="23.1" customHeight="1" x14ac:dyDescent="0.3">
      <c r="A24" s="2"/>
      <c r="B24" s="2"/>
      <c r="C24" s="131"/>
      <c r="D24" s="25"/>
      <c r="E24" s="78" t="s">
        <v>9</v>
      </c>
      <c r="F24" s="79"/>
      <c r="G24" s="26">
        <v>70000</v>
      </c>
      <c r="H24" s="27" t="s">
        <v>23</v>
      </c>
      <c r="I24" s="28">
        <f t="shared" si="0"/>
        <v>0</v>
      </c>
      <c r="J24" s="29"/>
      <c r="K24" s="25"/>
      <c r="L24" s="30"/>
      <c r="M24" s="2"/>
      <c r="P24" s="6"/>
      <c r="Q24" s="7"/>
    </row>
    <row r="25" spans="1:17" ht="23.1" customHeight="1" x14ac:dyDescent="0.3">
      <c r="A25" s="2"/>
      <c r="B25" s="2"/>
      <c r="C25" s="131"/>
      <c r="D25" s="25"/>
      <c r="E25" s="78" t="s">
        <v>10</v>
      </c>
      <c r="F25" s="79"/>
      <c r="G25" s="26">
        <v>100000</v>
      </c>
      <c r="H25" s="27" t="s">
        <v>23</v>
      </c>
      <c r="I25" s="28">
        <f t="shared" si="0"/>
        <v>0</v>
      </c>
      <c r="J25" s="29"/>
      <c r="K25" s="25"/>
      <c r="L25" s="30"/>
      <c r="M25" s="2"/>
      <c r="P25" s="6"/>
      <c r="Q25" s="7"/>
    </row>
    <row r="26" spans="1:17" ht="23.1" customHeight="1" x14ac:dyDescent="0.3">
      <c r="A26" s="2"/>
      <c r="B26" s="2"/>
      <c r="C26" s="131" t="s">
        <v>11</v>
      </c>
      <c r="D26" s="25"/>
      <c r="E26" s="137" t="s">
        <v>36</v>
      </c>
      <c r="F26" s="31" t="s">
        <v>14</v>
      </c>
      <c r="G26" s="26">
        <v>10000</v>
      </c>
      <c r="H26" s="27" t="s">
        <v>23</v>
      </c>
      <c r="I26" s="28">
        <f t="shared" si="0"/>
        <v>0</v>
      </c>
      <c r="J26" s="29"/>
      <c r="K26" s="25"/>
      <c r="L26" s="30"/>
      <c r="M26" s="2"/>
      <c r="Q26" s="7"/>
    </row>
    <row r="27" spans="1:17" ht="23.1" customHeight="1" x14ac:dyDescent="0.3">
      <c r="A27" s="2"/>
      <c r="B27" s="2"/>
      <c r="C27" s="131"/>
      <c r="D27" s="25"/>
      <c r="E27" s="138"/>
      <c r="F27" s="31" t="s">
        <v>15</v>
      </c>
      <c r="G27" s="26">
        <v>30000</v>
      </c>
      <c r="H27" s="27" t="s">
        <v>23</v>
      </c>
      <c r="I27" s="28">
        <f t="shared" si="0"/>
        <v>0</v>
      </c>
      <c r="J27" s="29"/>
      <c r="K27" s="25"/>
      <c r="L27" s="30"/>
      <c r="M27" s="2"/>
      <c r="Q27" s="7"/>
    </row>
    <row r="28" spans="1:17" ht="23.1" customHeight="1" x14ac:dyDescent="0.3">
      <c r="A28" s="2"/>
      <c r="B28" s="2"/>
      <c r="C28" s="131"/>
      <c r="D28" s="25"/>
      <c r="E28" s="138"/>
      <c r="F28" s="31" t="s">
        <v>17</v>
      </c>
      <c r="G28" s="26">
        <v>50000</v>
      </c>
      <c r="H28" s="27" t="s">
        <v>23</v>
      </c>
      <c r="I28" s="28">
        <f t="shared" si="0"/>
        <v>0</v>
      </c>
      <c r="J28" s="29"/>
      <c r="K28" s="25"/>
      <c r="L28" s="30"/>
      <c r="M28" s="2"/>
      <c r="Q28" s="7"/>
    </row>
    <row r="29" spans="1:17" ht="23.1" customHeight="1" x14ac:dyDescent="0.3">
      <c r="A29" s="2"/>
      <c r="B29" s="2"/>
      <c r="C29" s="131"/>
      <c r="D29" s="25"/>
      <c r="E29" s="138"/>
      <c r="F29" s="31" t="s">
        <v>16</v>
      </c>
      <c r="G29" s="26">
        <v>50000</v>
      </c>
      <c r="H29" s="27" t="s">
        <v>23</v>
      </c>
      <c r="I29" s="28">
        <f t="shared" si="0"/>
        <v>0</v>
      </c>
      <c r="J29" s="29"/>
      <c r="K29" s="25"/>
      <c r="L29" s="30"/>
      <c r="M29" s="2"/>
      <c r="Q29" s="7"/>
    </row>
    <row r="30" spans="1:17" ht="23.1" customHeight="1" x14ac:dyDescent="0.3">
      <c r="A30" s="2"/>
      <c r="B30" s="2"/>
      <c r="C30" s="131"/>
      <c r="D30" s="25"/>
      <c r="E30" s="117" t="s">
        <v>12</v>
      </c>
      <c r="F30" s="118"/>
      <c r="G30" s="26">
        <v>100000</v>
      </c>
      <c r="H30" s="27" t="s">
        <v>23</v>
      </c>
      <c r="I30" s="28">
        <f t="shared" si="0"/>
        <v>0</v>
      </c>
      <c r="J30" s="29"/>
      <c r="K30" s="25"/>
      <c r="L30" s="30"/>
      <c r="M30" s="2"/>
      <c r="Q30" s="7"/>
    </row>
    <row r="31" spans="1:17" ht="23.1" customHeight="1" x14ac:dyDescent="0.3">
      <c r="A31" s="2"/>
      <c r="B31" s="2"/>
      <c r="C31" s="139"/>
      <c r="D31" s="32"/>
      <c r="E31" s="115" t="s">
        <v>0</v>
      </c>
      <c r="F31" s="116"/>
      <c r="G31" s="33">
        <v>100000</v>
      </c>
      <c r="H31" s="34">
        <v>1</v>
      </c>
      <c r="I31" s="35">
        <f t="shared" si="0"/>
        <v>100000</v>
      </c>
      <c r="J31" s="36" t="s">
        <v>28</v>
      </c>
      <c r="K31" s="37">
        <v>45838</v>
      </c>
      <c r="L31" s="38"/>
      <c r="M31" s="2"/>
      <c r="P31" s="13"/>
    </row>
    <row r="32" spans="1:17" ht="23.1" customHeight="1" x14ac:dyDescent="0.3">
      <c r="A32" s="2"/>
      <c r="B32" s="2"/>
      <c r="C32" s="73" t="s">
        <v>32</v>
      </c>
      <c r="D32" s="74"/>
      <c r="E32" s="74"/>
      <c r="F32" s="74"/>
      <c r="G32" s="75">
        <f>SUM(I20:I31)</f>
        <v>150000</v>
      </c>
      <c r="H32" s="76"/>
      <c r="I32" s="77"/>
      <c r="J32" s="74"/>
      <c r="K32" s="74"/>
      <c r="L32" s="98"/>
      <c r="M32" s="39"/>
      <c r="P32" s="13"/>
    </row>
    <row r="33" spans="1:16" ht="26.1" customHeight="1" x14ac:dyDescent="0.3">
      <c r="A33" s="2"/>
      <c r="B33" s="2"/>
      <c r="C33" s="2"/>
      <c r="D33" s="5"/>
      <c r="E33" s="40"/>
      <c r="F33" s="40"/>
      <c r="G33" s="41"/>
      <c r="H33" s="42"/>
      <c r="I33" s="43"/>
      <c r="J33" s="43"/>
      <c r="K33" s="43"/>
      <c r="L33" s="2"/>
      <c r="M33" s="2"/>
      <c r="P33" s="13"/>
    </row>
    <row r="34" spans="1:16" ht="23.1" customHeight="1" x14ac:dyDescent="0.3">
      <c r="A34" s="2"/>
      <c r="B34" s="2"/>
      <c r="C34" s="100" t="s">
        <v>50</v>
      </c>
      <c r="D34" s="101"/>
      <c r="E34" s="101"/>
      <c r="F34" s="101"/>
      <c r="G34" s="101"/>
      <c r="H34" s="101"/>
      <c r="I34" s="101"/>
      <c r="J34" s="101"/>
      <c r="K34" s="101"/>
      <c r="L34" s="102"/>
      <c r="M34" s="2"/>
      <c r="P34" s="13"/>
    </row>
    <row r="35" spans="1:16" ht="23.1" customHeight="1" x14ac:dyDescent="0.3">
      <c r="B35" s="2"/>
      <c r="C35" s="111" t="s">
        <v>46</v>
      </c>
      <c r="D35" s="112"/>
      <c r="E35" s="112"/>
      <c r="F35" s="113"/>
      <c r="G35" s="111" t="s">
        <v>24</v>
      </c>
      <c r="H35" s="112"/>
      <c r="I35" s="114"/>
      <c r="J35" s="82" t="s">
        <v>51</v>
      </c>
      <c r="K35" s="83"/>
      <c r="L35" s="84"/>
      <c r="M35" s="2"/>
    </row>
    <row r="36" spans="1:16" ht="23.1" customHeight="1" x14ac:dyDescent="0.3">
      <c r="B36" s="2"/>
      <c r="C36" s="130" t="s">
        <v>19</v>
      </c>
      <c r="D36" s="17"/>
      <c r="E36" s="132" t="s">
        <v>21</v>
      </c>
      <c r="F36" s="133"/>
      <c r="G36" s="44">
        <v>50000</v>
      </c>
      <c r="H36" s="45">
        <v>1</v>
      </c>
      <c r="I36" s="28">
        <f t="shared" ref="I36:I39" si="1">IF(H36="-",0,G36*H36)</f>
        <v>50000</v>
      </c>
      <c r="J36" s="85"/>
      <c r="K36" s="86"/>
      <c r="L36" s="87"/>
      <c r="M36" s="2"/>
    </row>
    <row r="37" spans="1:16" ht="23.1" customHeight="1" x14ac:dyDescent="0.3">
      <c r="B37" s="2"/>
      <c r="C37" s="131"/>
      <c r="D37" s="46"/>
      <c r="E37" s="78" t="s">
        <v>20</v>
      </c>
      <c r="F37" s="79"/>
      <c r="G37" s="26">
        <v>100000</v>
      </c>
      <c r="H37" s="27" t="s">
        <v>23</v>
      </c>
      <c r="I37" s="28">
        <f t="shared" si="1"/>
        <v>0</v>
      </c>
      <c r="J37" s="85"/>
      <c r="K37" s="86"/>
      <c r="L37" s="87"/>
      <c r="M37" s="2"/>
    </row>
    <row r="38" spans="1:16" ht="23.1" customHeight="1" x14ac:dyDescent="0.3">
      <c r="B38" s="2"/>
      <c r="C38" s="80" t="s">
        <v>18</v>
      </c>
      <c r="D38" s="47"/>
      <c r="E38" s="78" t="s">
        <v>22</v>
      </c>
      <c r="F38" s="79"/>
      <c r="G38" s="26">
        <v>50000</v>
      </c>
      <c r="H38" s="27" t="s">
        <v>23</v>
      </c>
      <c r="I38" s="28">
        <f t="shared" si="1"/>
        <v>0</v>
      </c>
      <c r="J38" s="85"/>
      <c r="K38" s="86"/>
      <c r="L38" s="87"/>
      <c r="M38" s="2"/>
    </row>
    <row r="39" spans="1:16" ht="23.1" customHeight="1" x14ac:dyDescent="0.3">
      <c r="B39" s="2"/>
      <c r="C39" s="81"/>
      <c r="D39" s="25"/>
      <c r="E39" s="109" t="s">
        <v>25</v>
      </c>
      <c r="F39" s="110"/>
      <c r="G39" s="33">
        <v>100000</v>
      </c>
      <c r="H39" s="34">
        <v>1</v>
      </c>
      <c r="I39" s="28">
        <f t="shared" si="1"/>
        <v>100000</v>
      </c>
      <c r="J39" s="88"/>
      <c r="K39" s="89"/>
      <c r="L39" s="90"/>
      <c r="M39" s="2"/>
    </row>
    <row r="40" spans="1:16" ht="23.1" customHeight="1" x14ac:dyDescent="0.3">
      <c r="B40" s="2"/>
      <c r="C40" s="91" t="s">
        <v>33</v>
      </c>
      <c r="D40" s="92"/>
      <c r="E40" s="92"/>
      <c r="F40" s="93"/>
      <c r="G40" s="106">
        <f>SUM(I36:I39)</f>
        <v>150000</v>
      </c>
      <c r="H40" s="107"/>
      <c r="I40" s="108"/>
      <c r="J40" s="91"/>
      <c r="K40" s="92"/>
      <c r="L40" s="93"/>
      <c r="M40" s="2"/>
    </row>
    <row r="41" spans="1:16" ht="26.1" customHeight="1" x14ac:dyDescent="0.3">
      <c r="B41" s="2"/>
      <c r="C41" s="48"/>
      <c r="D41" s="48"/>
      <c r="E41" s="2"/>
      <c r="F41" s="2"/>
      <c r="G41" s="2"/>
      <c r="H41" s="2"/>
      <c r="I41" s="2"/>
      <c r="J41" s="2"/>
      <c r="K41" s="2"/>
      <c r="L41" s="2"/>
      <c r="M41" s="2"/>
    </row>
    <row r="42" spans="1:16" ht="23.1" customHeight="1" x14ac:dyDescent="0.3">
      <c r="B42" s="2"/>
      <c r="C42" s="59" t="s">
        <v>52</v>
      </c>
      <c r="D42" s="60"/>
      <c r="E42" s="60"/>
      <c r="F42" s="60"/>
      <c r="G42" s="60"/>
      <c r="H42" s="60"/>
      <c r="I42" s="60"/>
      <c r="J42" s="60"/>
      <c r="K42" s="60"/>
      <c r="L42" s="61"/>
      <c r="M42" s="2"/>
    </row>
    <row r="43" spans="1:16" ht="23.1" customHeight="1" x14ac:dyDescent="0.3">
      <c r="B43" s="2"/>
      <c r="C43" s="49" t="s">
        <v>39</v>
      </c>
      <c r="D43" s="50"/>
      <c r="E43" s="50"/>
      <c r="F43" s="50"/>
      <c r="G43" s="51">
        <f>G32-G40</f>
        <v>0</v>
      </c>
      <c r="H43" s="52"/>
      <c r="I43" s="52"/>
      <c r="J43" s="53" t="s">
        <v>53</v>
      </c>
      <c r="K43" s="53"/>
      <c r="L43" s="53"/>
      <c r="M43" s="2"/>
    </row>
    <row r="44" spans="1:16" ht="23.1" customHeight="1" x14ac:dyDescent="0.3">
      <c r="B44" s="2"/>
      <c r="C44" s="49" t="s">
        <v>40</v>
      </c>
      <c r="D44" s="50"/>
      <c r="E44" s="50"/>
      <c r="F44" s="50"/>
      <c r="G44" s="51">
        <f>G33-G41</f>
        <v>0</v>
      </c>
      <c r="H44" s="52"/>
      <c r="I44" s="52"/>
      <c r="J44" s="53"/>
      <c r="K44" s="53"/>
      <c r="L44" s="53"/>
      <c r="M44" s="2"/>
    </row>
    <row r="45" spans="1:16" ht="26.1" customHeight="1" x14ac:dyDescent="0.3"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2"/>
    </row>
    <row r="46" spans="1:16" ht="23.1" customHeight="1" x14ac:dyDescent="0.3">
      <c r="B46" s="2"/>
      <c r="C46" s="56" t="s">
        <v>47</v>
      </c>
      <c r="D46" s="56"/>
      <c r="E46" s="56"/>
      <c r="F46" s="56"/>
      <c r="G46" s="58">
        <v>0</v>
      </c>
      <c r="H46" s="58"/>
      <c r="I46" s="58"/>
      <c r="J46" s="57"/>
      <c r="K46" s="57"/>
      <c r="L46" s="57"/>
      <c r="M46" s="2"/>
    </row>
    <row r="47" spans="1:16" ht="23.1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mergeCells count="50">
    <mergeCell ref="E21:F21"/>
    <mergeCell ref="E37:F37"/>
    <mergeCell ref="C36:C37"/>
    <mergeCell ref="E36:F36"/>
    <mergeCell ref="E20:F20"/>
    <mergeCell ref="C20:C25"/>
    <mergeCell ref="E26:E29"/>
    <mergeCell ref="C26:C31"/>
    <mergeCell ref="E24:F24"/>
    <mergeCell ref="E25:F25"/>
    <mergeCell ref="E23:F23"/>
    <mergeCell ref="C7:J7"/>
    <mergeCell ref="K7:L8"/>
    <mergeCell ref="K9:L9"/>
    <mergeCell ref="C3:L4"/>
    <mergeCell ref="I8:J8"/>
    <mergeCell ref="C9:D9"/>
    <mergeCell ref="C8:D8"/>
    <mergeCell ref="J35:L39"/>
    <mergeCell ref="J40:L40"/>
    <mergeCell ref="C17:L17"/>
    <mergeCell ref="J32:L32"/>
    <mergeCell ref="G8:H8"/>
    <mergeCell ref="C34:L34"/>
    <mergeCell ref="I9:J9"/>
    <mergeCell ref="G9:H9"/>
    <mergeCell ref="C40:F40"/>
    <mergeCell ref="G40:I40"/>
    <mergeCell ref="E39:F39"/>
    <mergeCell ref="C35:F35"/>
    <mergeCell ref="G35:I35"/>
    <mergeCell ref="E22:F22"/>
    <mergeCell ref="E31:F31"/>
    <mergeCell ref="E30:F30"/>
    <mergeCell ref="C44:F44"/>
    <mergeCell ref="G44:I44"/>
    <mergeCell ref="J43:L44"/>
    <mergeCell ref="J18:L18"/>
    <mergeCell ref="C46:F46"/>
    <mergeCell ref="J46:L46"/>
    <mergeCell ref="G46:I46"/>
    <mergeCell ref="C43:F43"/>
    <mergeCell ref="G43:I43"/>
    <mergeCell ref="C42:L42"/>
    <mergeCell ref="G18:I19"/>
    <mergeCell ref="C18:F19"/>
    <mergeCell ref="C32:F32"/>
    <mergeCell ref="G32:I32"/>
    <mergeCell ref="E38:F38"/>
    <mergeCell ref="C38:C39"/>
  </mergeCells>
  <phoneticPr fontId="2" type="noConversion"/>
  <dataValidations count="5">
    <dataValidation type="list" allowBlank="1" showInputMessage="1" showErrorMessage="1" sqref="H36:H39 H20:H31 H33" xr:uid="{850AA8FA-777B-4918-82E9-8C44B2DF0B21}">
      <formula1>"-,1,2,3,4,5"</formula1>
    </dataValidation>
    <dataValidation type="list" allowBlank="1" showInputMessage="1" showErrorMessage="1" sqref="C9:D10" xr:uid="{1233CA74-2CFA-4FCE-9BD2-1CA7B0286F0A}">
      <formula1>"경영관리본부, DT사업본부"</formula1>
    </dataValidation>
    <dataValidation type="list" allowBlank="1" showInputMessage="1" showErrorMessage="1" sqref="E9:E10" xr:uid="{6A78D5CE-523D-40E1-9BA5-E0FA54BE3067}">
      <formula1>"경영관리그룹, 솔루션그룹, 컨설팅그룹, BIM그룹, 사업기획그룹"</formula1>
    </dataValidation>
    <dataValidation type="list" allowBlank="1" showInputMessage="1" showErrorMessage="1" sqref="F9:F10" xr:uid="{A408C1FD-E532-4432-9C3A-99C8BE392F92}">
      <formula1>"경영관리팀, HR팀, 시스템운영팀, 솔루션영업팀, TS팀, CS팀, DT영업팀, 컨설팅팀, 마케팅팀, BIM1팀, FAB1팀, FAB2팀, FAB3팀, FAB4팀, 개발기획팀, 기술연구소"</formula1>
    </dataValidation>
    <dataValidation type="list" allowBlank="1" showInputMessage="1" showErrorMessage="1" sqref="G9:H10" xr:uid="{3CB46D79-BAB3-4833-B2B5-9F0B781829EF}">
      <formula1>"인턴, 사원, 매니저, 책임매니저, 팀장, 그룹장"</formula1>
    </dataValidation>
  </dataValidations>
  <pageMargins left="0.25" right="0.25" top="0.75" bottom="0.75" header="0.3" footer="0.3"/>
  <pageSetup paperSize="9" scale="6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3</xdr:col>
                    <xdr:colOff>104775</xdr:colOff>
                    <xdr:row>19</xdr:row>
                    <xdr:rowOff>0</xdr:rowOff>
                  </from>
                  <to>
                    <xdr:col>3</xdr:col>
                    <xdr:colOff>342900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3</xdr:col>
                    <xdr:colOff>104775</xdr:colOff>
                    <xdr:row>20</xdr:row>
                    <xdr:rowOff>0</xdr:rowOff>
                  </from>
                  <to>
                    <xdr:col>3</xdr:col>
                    <xdr:colOff>342900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3</xdr:col>
                    <xdr:colOff>104775</xdr:colOff>
                    <xdr:row>21</xdr:row>
                    <xdr:rowOff>0</xdr:rowOff>
                  </from>
                  <to>
                    <xdr:col>3</xdr:col>
                    <xdr:colOff>342900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104775</xdr:colOff>
                    <xdr:row>22</xdr:row>
                    <xdr:rowOff>0</xdr:rowOff>
                  </from>
                  <to>
                    <xdr:col>3</xdr:col>
                    <xdr:colOff>342900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3</xdr:col>
                    <xdr:colOff>104775</xdr:colOff>
                    <xdr:row>23</xdr:row>
                    <xdr:rowOff>0</xdr:rowOff>
                  </from>
                  <to>
                    <xdr:col>3</xdr:col>
                    <xdr:colOff>342900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3</xdr:col>
                    <xdr:colOff>104775</xdr:colOff>
                    <xdr:row>24</xdr:row>
                    <xdr:rowOff>0</xdr:rowOff>
                  </from>
                  <to>
                    <xdr:col>3</xdr:col>
                    <xdr:colOff>342900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3</xdr:col>
                    <xdr:colOff>104775</xdr:colOff>
                    <xdr:row>25</xdr:row>
                    <xdr:rowOff>0</xdr:rowOff>
                  </from>
                  <to>
                    <xdr:col>3</xdr:col>
                    <xdr:colOff>342900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3</xdr:col>
                    <xdr:colOff>104775</xdr:colOff>
                    <xdr:row>26</xdr:row>
                    <xdr:rowOff>0</xdr:rowOff>
                  </from>
                  <to>
                    <xdr:col>3</xdr:col>
                    <xdr:colOff>342900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3</xdr:col>
                    <xdr:colOff>104775</xdr:colOff>
                    <xdr:row>27</xdr:row>
                    <xdr:rowOff>0</xdr:rowOff>
                  </from>
                  <to>
                    <xdr:col>3</xdr:col>
                    <xdr:colOff>342900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3</xdr:col>
                    <xdr:colOff>104775</xdr:colOff>
                    <xdr:row>28</xdr:row>
                    <xdr:rowOff>0</xdr:rowOff>
                  </from>
                  <to>
                    <xdr:col>3</xdr:col>
                    <xdr:colOff>342900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3</xdr:col>
                    <xdr:colOff>104775</xdr:colOff>
                    <xdr:row>29</xdr:row>
                    <xdr:rowOff>0</xdr:rowOff>
                  </from>
                  <to>
                    <xdr:col>3</xdr:col>
                    <xdr:colOff>342900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3</xdr:col>
                    <xdr:colOff>104775</xdr:colOff>
                    <xdr:row>30</xdr:row>
                    <xdr:rowOff>0</xdr:rowOff>
                  </from>
                  <to>
                    <xdr:col>3</xdr:col>
                    <xdr:colOff>342900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11</xdr:col>
                    <xdr:colOff>304800</xdr:colOff>
                    <xdr:row>19</xdr:row>
                    <xdr:rowOff>0</xdr:rowOff>
                  </from>
                  <to>
                    <xdr:col>11</xdr:col>
                    <xdr:colOff>533400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11</xdr:col>
                    <xdr:colOff>304800</xdr:colOff>
                    <xdr:row>20</xdr:row>
                    <xdr:rowOff>0</xdr:rowOff>
                  </from>
                  <to>
                    <xdr:col>11</xdr:col>
                    <xdr:colOff>533400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11</xdr:col>
                    <xdr:colOff>304800</xdr:colOff>
                    <xdr:row>21</xdr:row>
                    <xdr:rowOff>0</xdr:rowOff>
                  </from>
                  <to>
                    <xdr:col>11</xdr:col>
                    <xdr:colOff>533400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11</xdr:col>
                    <xdr:colOff>304800</xdr:colOff>
                    <xdr:row>22</xdr:row>
                    <xdr:rowOff>0</xdr:rowOff>
                  </from>
                  <to>
                    <xdr:col>11</xdr:col>
                    <xdr:colOff>533400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11</xdr:col>
                    <xdr:colOff>304800</xdr:colOff>
                    <xdr:row>23</xdr:row>
                    <xdr:rowOff>0</xdr:rowOff>
                  </from>
                  <to>
                    <xdr:col>11</xdr:col>
                    <xdr:colOff>533400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11</xdr:col>
                    <xdr:colOff>304800</xdr:colOff>
                    <xdr:row>24</xdr:row>
                    <xdr:rowOff>0</xdr:rowOff>
                  </from>
                  <to>
                    <xdr:col>11</xdr:col>
                    <xdr:colOff>533400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11</xdr:col>
                    <xdr:colOff>304800</xdr:colOff>
                    <xdr:row>25</xdr:row>
                    <xdr:rowOff>0</xdr:rowOff>
                  </from>
                  <to>
                    <xdr:col>11</xdr:col>
                    <xdr:colOff>533400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11</xdr:col>
                    <xdr:colOff>304800</xdr:colOff>
                    <xdr:row>26</xdr:row>
                    <xdr:rowOff>0</xdr:rowOff>
                  </from>
                  <to>
                    <xdr:col>11</xdr:col>
                    <xdr:colOff>533400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11</xdr:col>
                    <xdr:colOff>304800</xdr:colOff>
                    <xdr:row>27</xdr:row>
                    <xdr:rowOff>0</xdr:rowOff>
                  </from>
                  <to>
                    <xdr:col>11</xdr:col>
                    <xdr:colOff>533400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11</xdr:col>
                    <xdr:colOff>304800</xdr:colOff>
                    <xdr:row>28</xdr:row>
                    <xdr:rowOff>0</xdr:rowOff>
                  </from>
                  <to>
                    <xdr:col>11</xdr:col>
                    <xdr:colOff>533400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11</xdr:col>
                    <xdr:colOff>304800</xdr:colOff>
                    <xdr:row>29</xdr:row>
                    <xdr:rowOff>0</xdr:rowOff>
                  </from>
                  <to>
                    <xdr:col>11</xdr:col>
                    <xdr:colOff>533400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11</xdr:col>
                    <xdr:colOff>304800</xdr:colOff>
                    <xdr:row>30</xdr:row>
                    <xdr:rowOff>0</xdr:rowOff>
                  </from>
                  <to>
                    <xdr:col>11</xdr:col>
                    <xdr:colOff>533400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3</xdr:col>
                    <xdr:colOff>104775</xdr:colOff>
                    <xdr:row>35</xdr:row>
                    <xdr:rowOff>0</xdr:rowOff>
                  </from>
                  <to>
                    <xdr:col>3</xdr:col>
                    <xdr:colOff>342900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9" name="Check Box 28">
              <controlPr defaultSize="0" autoFill="0" autoLine="0" autoPict="0">
                <anchor moveWithCells="1">
                  <from>
                    <xdr:col>3</xdr:col>
                    <xdr:colOff>104775</xdr:colOff>
                    <xdr:row>36</xdr:row>
                    <xdr:rowOff>0</xdr:rowOff>
                  </from>
                  <to>
                    <xdr:col>3</xdr:col>
                    <xdr:colOff>342900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0" name="Check Box 29">
              <controlPr defaultSize="0" autoFill="0" autoLine="0" autoPict="0">
                <anchor moveWithCells="1">
                  <from>
                    <xdr:col>3</xdr:col>
                    <xdr:colOff>104775</xdr:colOff>
                    <xdr:row>37</xdr:row>
                    <xdr:rowOff>0</xdr:rowOff>
                  </from>
                  <to>
                    <xdr:col>3</xdr:col>
                    <xdr:colOff>342900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1" name="Check Box 30">
              <controlPr defaultSize="0" autoFill="0" autoLine="0" autoPict="0">
                <anchor moveWithCells="1">
                  <from>
                    <xdr:col>3</xdr:col>
                    <xdr:colOff>104775</xdr:colOff>
                    <xdr:row>38</xdr:row>
                    <xdr:rowOff>0</xdr:rowOff>
                  </from>
                  <to>
                    <xdr:col>3</xdr:col>
                    <xdr:colOff>342900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4983181D3C846BA3C8338D171DC38" ma:contentTypeVersion="0" ma:contentTypeDescription="Create a new document." ma:contentTypeScope="" ma:versionID="bac0eacfa4deb0c3c69822a8aa0a374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38b2b1e104f24ddbabb324addabe9a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2C9C11-AAA8-4545-83A4-3BFAFB3EEE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0D776B-E24A-4360-931B-052D45AAB1E9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0DA7E8D-92A6-4C8D-96C6-A024EFEEE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성장포인트 적립 및 사용 신청서</vt:lpstr>
      <vt:lpstr>'성장포인트 적립 및 사용 신청서'!Print_Area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 다영</dc:creator>
  <cp:lastModifiedBy>이 경한</cp:lastModifiedBy>
  <cp:lastPrinted>2025-02-17T07:01:29Z</cp:lastPrinted>
  <dcterms:created xsi:type="dcterms:W3CDTF">2024-11-26T06:20:10Z</dcterms:created>
  <dcterms:modified xsi:type="dcterms:W3CDTF">2025-02-19T07:32:35Z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0x010100EA84983181D3C846BA3C8338D171DC38</vt:lpwstr>
  </property>
</Properties>
</file>