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0DBF53B4-C551-4345-8A7A-9B544F87E0E7}" xr6:coauthVersionLast="47" xr6:coauthVersionMax="47" xr10:uidLastSave="{00000000-0000-0000-0000-000000000000}"/>
  <bookViews>
    <workbookView xWindow="28680" yWindow="-120" windowWidth="29040" windowHeight="15720" activeTab="1" xr2:uid="{34AD9756-C76A-4F65-B17E-62AF9C8B856C}"/>
  </bookViews>
  <sheets>
    <sheet name="프로젝트 종료 프로세스" sheetId="8" r:id="rId1"/>
    <sheet name="프로젝트 결과 보고서" sheetId="7" r:id="rId2"/>
  </sheets>
  <definedNames>
    <definedName name="_xlnm.Print_Area" localSheetId="0">'프로젝트 종료 프로세스'!$A$1:$T$34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7" l="1"/>
  <c r="J33" i="7" s="1"/>
  <c r="K33" i="7" s="1"/>
  <c r="I34" i="7"/>
  <c r="I35" i="7"/>
  <c r="J35" i="7" s="1"/>
  <c r="I32" i="7"/>
  <c r="J32" i="7" s="1"/>
  <c r="K32" i="7" s="1"/>
  <c r="J34" i="7" l="1"/>
  <c r="K34" i="7" s="1"/>
  <c r="K3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채 혜령</author>
  </authors>
  <commentList>
    <comment ref="A52" authorId="0" shapeId="0" xr:uid="{B6C2FA0C-65B3-43FD-AC4F-285F22D0A197}">
      <text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발주처에서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사항들</t>
        </r>
      </text>
    </comment>
    <comment ref="A56" authorId="0" shapeId="0" xr:uid="{D2AF1C57-7A1C-4370-A128-99CF0279598F}">
      <text>
        <r>
          <rPr>
            <b/>
            <sz val="9"/>
            <color indexed="81"/>
            <rFont val="돋움"/>
            <family val="3"/>
            <charset val="129"/>
          </rPr>
          <t>회사에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제안하고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60" authorId="0" shapeId="0" xr:uid="{2BC2B4DA-2726-4BC1-B9A3-132DABDE4BC5}">
      <text>
        <r>
          <rPr>
            <b/>
            <sz val="9"/>
            <color indexed="81"/>
            <rFont val="돋움"/>
            <family val="3"/>
            <charset val="129"/>
          </rPr>
          <t>회사에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제안하고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싶은내용</t>
        </r>
      </text>
    </comment>
  </commentList>
</comments>
</file>

<file path=xl/sharedStrings.xml><?xml version="1.0" encoding="utf-8"?>
<sst xmlns="http://schemas.openxmlformats.org/spreadsheetml/2006/main" count="80" uniqueCount="68">
  <si>
    <t>담당</t>
    <phoneticPr fontId="4" type="noConversion"/>
  </si>
  <si>
    <t>팀장</t>
    <phoneticPr fontId="4" type="noConversion"/>
  </si>
  <si>
    <t>■ 프로젝트 개요</t>
    <phoneticPr fontId="4" type="noConversion"/>
  </si>
  <si>
    <t>프로젝트 목적</t>
    <phoneticPr fontId="4" type="noConversion"/>
  </si>
  <si>
    <t>■ 프로젝트 성과분석</t>
    <phoneticPr fontId="4" type="noConversion"/>
  </si>
  <si>
    <t>프로젝트명</t>
    <phoneticPr fontId="2" type="noConversion"/>
  </si>
  <si>
    <t>발주처</t>
    <phoneticPr fontId="4" type="noConversion"/>
  </si>
  <si>
    <t>용도</t>
    <phoneticPr fontId="2" type="noConversion"/>
  </si>
  <si>
    <t>연면적</t>
    <phoneticPr fontId="2" type="noConversion"/>
  </si>
  <si>
    <t>규모</t>
    <phoneticPr fontId="2" type="noConversion"/>
  </si>
  <si>
    <t>과업기간</t>
    <phoneticPr fontId="4" type="noConversion"/>
  </si>
  <si>
    <t>대지위치</t>
    <phoneticPr fontId="2" type="noConversion"/>
  </si>
  <si>
    <t>계약기간</t>
    <phoneticPr fontId="2" type="noConversion"/>
  </si>
  <si>
    <t>성공요인</t>
    <phoneticPr fontId="2" type="noConversion"/>
  </si>
  <si>
    <t>실패요인</t>
    <phoneticPr fontId="2" type="noConversion"/>
  </si>
  <si>
    <t>보완과제</t>
    <phoneticPr fontId="2" type="noConversion"/>
  </si>
  <si>
    <t>업무범위</t>
    <phoneticPr fontId="4" type="noConversion"/>
  </si>
  <si>
    <t>수주금액</t>
    <phoneticPr fontId="2" type="noConversion"/>
  </si>
  <si>
    <t>착수시</t>
    <phoneticPr fontId="2" type="noConversion"/>
  </si>
  <si>
    <t>인건비</t>
    <phoneticPr fontId="2" type="noConversion"/>
  </si>
  <si>
    <t>외주비</t>
    <phoneticPr fontId="2" type="noConversion"/>
  </si>
  <si>
    <t>간접비</t>
    <phoneticPr fontId="2" type="noConversion"/>
  </si>
  <si>
    <t>장비</t>
    <phoneticPr fontId="2" type="noConversion"/>
  </si>
  <si>
    <t>이익률</t>
    <phoneticPr fontId="2" type="noConversion"/>
  </si>
  <si>
    <t>M/M</t>
    <phoneticPr fontId="2" type="noConversion"/>
  </si>
  <si>
    <t>주요성과</t>
    <phoneticPr fontId="2" type="noConversion"/>
  </si>
  <si>
    <t>비고</t>
    <phoneticPr fontId="2" type="noConversion"/>
  </si>
  <si>
    <t>■ 프로젝트 최종평가</t>
    <phoneticPr fontId="4" type="noConversion"/>
  </si>
  <si>
    <t>작성자</t>
    <phoneticPr fontId="4" type="noConversion"/>
  </si>
  <si>
    <t>작성일자</t>
    <phoneticPr fontId="4" type="noConversion"/>
  </si>
  <si>
    <t>PM</t>
    <phoneticPr fontId="2" type="noConversion"/>
  </si>
  <si>
    <t>㎡</t>
    <phoneticPr fontId="2" type="noConversion"/>
  </si>
  <si>
    <t>관리자</t>
    <phoneticPr fontId="2" type="noConversion"/>
  </si>
  <si>
    <t xml:space="preserve">(인)  </t>
  </si>
  <si>
    <t>발주처 요구사항</t>
    <phoneticPr fontId="2" type="noConversion"/>
  </si>
  <si>
    <t>제안사항</t>
    <phoneticPr fontId="2" type="noConversion"/>
  </si>
  <si>
    <t>* 발주처에서 요구하는 사항들</t>
    <phoneticPr fontId="2" type="noConversion"/>
  </si>
  <si>
    <t>대지면적</t>
    <phoneticPr fontId="2" type="noConversion"/>
  </si>
  <si>
    <t>구조</t>
    <phoneticPr fontId="2" type="noConversion"/>
  </si>
  <si>
    <t>관리팀</t>
    <phoneticPr fontId="2" type="noConversion"/>
  </si>
  <si>
    <t xml:space="preserve">         프로젝트 결과보고서</t>
    <phoneticPr fontId="3" type="noConversion"/>
  </si>
  <si>
    <t>■ PM 변경이력</t>
    <phoneticPr fontId="4" type="noConversion"/>
  </si>
  <si>
    <t>기타의견</t>
    <phoneticPr fontId="2" type="noConversion"/>
  </si>
  <si>
    <t>1차 변경</t>
    <phoneticPr fontId="2" type="noConversion"/>
  </si>
  <si>
    <t>2차 변경</t>
    <phoneticPr fontId="2" type="noConversion"/>
  </si>
  <si>
    <t>3차 변경</t>
    <phoneticPr fontId="2" type="noConversion"/>
  </si>
  <si>
    <t>이름</t>
    <phoneticPr fontId="2" type="noConversion"/>
  </si>
  <si>
    <t>건축</t>
    <phoneticPr fontId="2" type="noConversion"/>
  </si>
  <si>
    <t>2021-01-01~2022-12-31</t>
    <phoneticPr fontId="2" type="noConversion"/>
  </si>
  <si>
    <t>2023-01-01~2023-06-30</t>
    <phoneticPr fontId="2" type="noConversion"/>
  </si>
  <si>
    <t>2023-07-01~2024-02-28</t>
    <phoneticPr fontId="2" type="noConversion"/>
  </si>
  <si>
    <t>분야</t>
    <phoneticPr fontId="2" type="noConversion"/>
  </si>
  <si>
    <t>PM 수행기간</t>
    <phoneticPr fontId="2" type="noConversion"/>
  </si>
  <si>
    <t>담당PM</t>
    <phoneticPr fontId="2" type="noConversion"/>
  </si>
  <si>
    <t>2024-03-01~2024-12-31</t>
    <phoneticPr fontId="2" type="noConversion"/>
  </si>
  <si>
    <t>3차 변경(종료)</t>
    <phoneticPr fontId="2" type="noConversion"/>
  </si>
  <si>
    <t>OOO 책임매니저</t>
    <phoneticPr fontId="2" type="noConversion"/>
  </si>
  <si>
    <t>OOO</t>
    <phoneticPr fontId="2" type="noConversion"/>
  </si>
  <si>
    <t>ㅁㅁㅁ책임매니저</t>
    <phoneticPr fontId="2" type="noConversion"/>
  </si>
  <si>
    <t>ㅁㅁㅁ</t>
    <phoneticPr fontId="2" type="noConversion"/>
  </si>
  <si>
    <t>XXX 책임매니저</t>
    <phoneticPr fontId="2" type="noConversion"/>
  </si>
  <si>
    <t>XXX</t>
    <phoneticPr fontId="2" type="noConversion"/>
  </si>
  <si>
    <t>△△△ 책임매니저</t>
    <phoneticPr fontId="2" type="noConversion"/>
  </si>
  <si>
    <t>△△△</t>
    <phoneticPr fontId="2" type="noConversion"/>
  </si>
  <si>
    <t xml:space="preserve">* 비고: PM변경 시 발생된  문제 사항이나 기타 필요내용 기재 </t>
    <phoneticPr fontId="2" type="noConversion"/>
  </si>
  <si>
    <t>* 회사에 제안하고 싶은 내용</t>
    <phoneticPr fontId="2" type="noConversion"/>
  </si>
  <si>
    <t>원가 합계</t>
    <phoneticPr fontId="2" type="noConversion"/>
  </si>
  <si>
    <t>이익금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</si>
</sst>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_-* #,##0.00_-;\-* #,##0.0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2" borderId="0" xfId="0" applyFont="1" applyFill="1" applyAlignment="1" applyProtection="1">
      <alignment vertical="center" shrinkToFit="1"/>
      <protection locked="0"/>
    </xf>
    <xf numFmtId="0" fontId="5" fillId="2" borderId="0" xfId="0" applyFont="1" applyFill="1">
      <alignment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 shrinkToFit="1"/>
      <protection locked="0"/>
    </xf>
    <xf numFmtId="0" fontId="7" fillId="2" borderId="0" xfId="0" applyFont="1" applyFill="1" applyAlignment="1" applyProtection="1">
      <alignment horizontal="left" vertical="center" shrinkToFit="1"/>
      <protection locked="0"/>
    </xf>
    <xf numFmtId="0" fontId="7" fillId="0" borderId="5" xfId="0" applyFont="1" applyBorder="1" applyAlignment="1" applyProtection="1">
      <alignment horizontal="center" vertical="center" shrinkToFit="1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vertical="center" shrinkToFit="1"/>
      <protection locked="0"/>
    </xf>
    <xf numFmtId="177" fontId="11" fillId="2" borderId="15" xfId="1" applyNumberFormat="1" applyFont="1" applyFill="1" applyBorder="1" applyAlignment="1" applyProtection="1">
      <alignment vertical="center" shrinkToFit="1"/>
      <protection locked="0"/>
    </xf>
    <xf numFmtId="177" fontId="11" fillId="2" borderId="16" xfId="0" applyNumberFormat="1" applyFont="1" applyFill="1" applyBorder="1" applyAlignment="1" applyProtection="1">
      <alignment vertical="center" shrinkToFit="1"/>
      <protection locked="0"/>
    </xf>
    <xf numFmtId="177" fontId="11" fillId="2" borderId="19" xfId="0" applyNumberFormat="1" applyFont="1" applyFill="1" applyBorder="1" applyAlignment="1" applyProtection="1">
      <alignment vertical="center" shrinkToFit="1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1" fillId="2" borderId="16" xfId="0" applyFont="1" applyFill="1" applyBorder="1" applyAlignment="1" applyProtection="1">
      <alignment vertical="center" shrinkToFit="1"/>
      <protection locked="0"/>
    </xf>
    <xf numFmtId="0" fontId="11" fillId="2" borderId="20" xfId="0" applyFont="1" applyFill="1" applyBorder="1" applyAlignment="1" applyProtection="1">
      <alignment vertical="center" shrinkToFit="1"/>
      <protection locked="0"/>
    </xf>
    <xf numFmtId="177" fontId="11" fillId="0" borderId="15" xfId="1" applyNumberFormat="1" applyFont="1" applyBorder="1" applyAlignment="1" applyProtection="1">
      <alignment vertical="center" shrinkToFit="1"/>
      <protection locked="0"/>
    </xf>
    <xf numFmtId="177" fontId="11" fillId="2" borderId="16" xfId="0" applyNumberFormat="1" applyFont="1" applyFill="1" applyBorder="1" applyAlignment="1" applyProtection="1">
      <alignment horizontal="left" vertical="center" shrinkToFit="1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41" fontId="13" fillId="3" borderId="2" xfId="1" applyFont="1" applyFill="1" applyBorder="1" applyAlignment="1" applyProtection="1">
      <alignment horizontal="center" vertical="center" shrinkToFit="1"/>
      <protection locked="0"/>
    </xf>
    <xf numFmtId="41" fontId="11" fillId="2" borderId="5" xfId="1" applyFont="1" applyFill="1" applyBorder="1" applyAlignment="1" applyProtection="1">
      <alignment horizontal="center" vertical="center" wrapText="1" shrinkToFit="1"/>
      <protection locked="0"/>
    </xf>
    <xf numFmtId="41" fontId="11" fillId="2" borderId="8" xfId="1" applyFont="1" applyFill="1" applyBorder="1" applyAlignment="1" applyProtection="1">
      <alignment horizontal="center" vertical="center" wrapText="1" shrinkToFit="1"/>
      <protection locked="0"/>
    </xf>
    <xf numFmtId="41" fontId="11" fillId="2" borderId="15" xfId="1" applyFont="1" applyFill="1" applyBorder="1" applyAlignment="1" applyProtection="1">
      <alignment horizontal="left" vertical="center" shrinkToFit="1"/>
      <protection locked="0"/>
    </xf>
    <xf numFmtId="41" fontId="11" fillId="2" borderId="16" xfId="1" applyFont="1" applyFill="1" applyBorder="1" applyAlignment="1" applyProtection="1">
      <alignment horizontal="left" vertical="center" shrinkToFit="1"/>
      <protection locked="0"/>
    </xf>
    <xf numFmtId="41" fontId="11" fillId="2" borderId="20" xfId="1" applyFont="1" applyFill="1" applyBorder="1" applyAlignment="1" applyProtection="1">
      <alignment horizontal="left" vertical="center" shrinkToFit="1"/>
      <protection locked="0"/>
    </xf>
    <xf numFmtId="0" fontId="7" fillId="3" borderId="2" xfId="0" applyFont="1" applyFill="1" applyBorder="1" applyAlignment="1" applyProtection="1">
      <alignment horizontal="center" vertical="center" shrinkToFit="1"/>
      <protection locked="0"/>
    </xf>
    <xf numFmtId="0" fontId="7" fillId="3" borderId="3" xfId="0" applyFont="1" applyFill="1" applyBorder="1" applyAlignment="1" applyProtection="1">
      <alignment horizontal="center" vertical="center" shrinkToFit="1"/>
      <protection locked="0"/>
    </xf>
    <xf numFmtId="41" fontId="7" fillId="0" borderId="5" xfId="1" applyFont="1" applyFill="1" applyBorder="1" applyAlignment="1" applyProtection="1">
      <alignment vertical="center" shrinkToFit="1"/>
      <protection locked="0"/>
    </xf>
    <xf numFmtId="2" fontId="18" fillId="0" borderId="5" xfId="0" applyNumberFormat="1" applyFont="1" applyBorder="1" applyAlignment="1" applyProtection="1">
      <alignment horizontal="center" vertical="center" shrinkToFit="1"/>
      <protection locked="0"/>
    </xf>
    <xf numFmtId="41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5" xfId="2" applyNumberFormat="1" applyFont="1" applyFill="1" applyBorder="1" applyAlignment="1" applyProtection="1">
      <alignment horizontal="center" vertical="center" shrinkToFit="1"/>
      <protection locked="0"/>
    </xf>
    <xf numFmtId="41" fontId="7" fillId="2" borderId="5" xfId="1" applyFont="1" applyFill="1" applyBorder="1" applyAlignment="1" applyProtection="1">
      <alignment vertical="center" shrinkToFit="1"/>
      <protection locked="0"/>
    </xf>
    <xf numFmtId="2" fontId="18" fillId="2" borderId="5" xfId="0" applyNumberFormat="1" applyFont="1" applyFill="1" applyBorder="1" applyAlignment="1" applyProtection="1">
      <alignment horizontal="center" vertical="center" shrinkToFit="1"/>
      <protection locked="0"/>
    </xf>
    <xf numFmtId="41" fontId="7" fillId="2" borderId="5" xfId="0" applyNumberFormat="1" applyFont="1" applyFill="1" applyBorder="1" applyAlignment="1" applyProtection="1">
      <alignment vertical="center" shrinkToFit="1"/>
      <protection locked="0"/>
    </xf>
    <xf numFmtId="176" fontId="7" fillId="2" borderId="5" xfId="2" applyNumberFormat="1" applyFont="1" applyFill="1" applyBorder="1" applyAlignment="1" applyProtection="1">
      <alignment horizontal="center" vertical="center" shrinkToFit="1"/>
      <protection locked="0"/>
    </xf>
    <xf numFmtId="0" fontId="7" fillId="3" borderId="2" xfId="0" applyFont="1" applyFill="1" applyBorder="1" applyAlignment="1" applyProtection="1">
      <alignment vertical="center" wrapText="1" shrinkToFit="1"/>
      <protection locked="0"/>
    </xf>
    <xf numFmtId="0" fontId="7" fillId="2" borderId="5" xfId="0" applyFont="1" applyFill="1" applyBorder="1" applyAlignment="1" applyProtection="1">
      <alignment horizontal="center" vertical="center" shrinkToFit="1"/>
      <protection locked="0"/>
    </xf>
    <xf numFmtId="0" fontId="7" fillId="0" borderId="6" xfId="0" applyFont="1" applyBorder="1" applyAlignment="1" applyProtection="1">
      <alignment horizontal="center" vertical="center" shrinkToFit="1"/>
      <protection locked="0"/>
    </xf>
    <xf numFmtId="0" fontId="7" fillId="2" borderId="6" xfId="0" applyFont="1" applyFill="1" applyBorder="1" applyAlignment="1" applyProtection="1">
      <alignment horizontal="center" vertical="center" shrinkToFit="1"/>
      <protection locked="0"/>
    </xf>
    <xf numFmtId="0" fontId="7" fillId="4" borderId="5" xfId="0" applyFont="1" applyFill="1" applyBorder="1" applyAlignment="1" applyProtection="1">
      <alignment horizontal="center" vertical="center" shrinkToFit="1"/>
      <protection locked="0"/>
    </xf>
    <xf numFmtId="41" fontId="7" fillId="4" borderId="5" xfId="1" applyFont="1" applyFill="1" applyBorder="1" applyAlignment="1" applyProtection="1">
      <alignment vertical="center" shrinkToFit="1"/>
      <protection locked="0"/>
    </xf>
    <xf numFmtId="2" fontId="18" fillId="4" borderId="5" xfId="1" applyNumberFormat="1" applyFont="1" applyFill="1" applyBorder="1" applyAlignment="1" applyProtection="1">
      <alignment horizontal="center" vertical="center" shrinkToFit="1"/>
      <protection locked="0"/>
    </xf>
    <xf numFmtId="41" fontId="7" fillId="4" borderId="5" xfId="0" applyNumberFormat="1" applyFont="1" applyFill="1" applyBorder="1" applyAlignment="1" applyProtection="1">
      <alignment vertical="center" shrinkToFit="1"/>
      <protection locked="0"/>
    </xf>
    <xf numFmtId="176" fontId="7" fillId="4" borderId="5" xfId="2" applyNumberFormat="1" applyFont="1" applyFill="1" applyBorder="1" applyAlignment="1" applyProtection="1">
      <alignment horizontal="center" vertical="center" shrinkToFit="1"/>
      <protection locked="0"/>
    </xf>
    <xf numFmtId="0" fontId="7" fillId="4" borderId="6" xfId="0" applyFont="1" applyFill="1" applyBorder="1" applyAlignment="1" applyProtection="1">
      <alignment horizontal="center" vertical="center" shrinkToFit="1"/>
      <protection locked="0"/>
    </xf>
    <xf numFmtId="41" fontId="11" fillId="2" borderId="5" xfId="1" applyFont="1" applyFill="1" applyBorder="1" applyAlignment="1" applyProtection="1">
      <alignment horizontal="center" vertical="center" wrapText="1" shrinkToFit="1"/>
      <protection locked="0"/>
    </xf>
    <xf numFmtId="41" fontId="11" fillId="2" borderId="5" xfId="1" applyFont="1" applyFill="1" applyBorder="1" applyAlignment="1" applyProtection="1">
      <alignment horizontal="center" vertical="center" shrinkToFit="1"/>
      <protection locked="0"/>
    </xf>
    <xf numFmtId="0" fontId="10" fillId="2" borderId="5" xfId="0" applyFont="1" applyFill="1" applyBorder="1" applyAlignment="1" applyProtection="1">
      <alignment horizontal="center" vertical="center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shrinkToFit="1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41" fontId="11" fillId="2" borderId="8" xfId="1" applyFont="1" applyFill="1" applyBorder="1" applyAlignment="1" applyProtection="1">
      <alignment horizontal="center" vertical="center" shrinkToFit="1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41" fontId="11" fillId="2" borderId="11" xfId="1" applyFont="1" applyFill="1" applyBorder="1" applyAlignment="1" applyProtection="1">
      <alignment horizontal="left" vertical="center" shrinkToFit="1"/>
      <protection locked="0"/>
    </xf>
    <xf numFmtId="41" fontId="11" fillId="2" borderId="12" xfId="1" applyFont="1" applyFill="1" applyBorder="1" applyAlignment="1" applyProtection="1">
      <alignment horizontal="left" vertical="center" shrinkToFit="1"/>
      <protection locked="0"/>
    </xf>
    <xf numFmtId="0" fontId="11" fillId="2" borderId="12" xfId="0" applyFont="1" applyFill="1" applyBorder="1" applyAlignment="1" applyProtection="1">
      <alignment horizontal="center" vertical="center" shrinkToFit="1"/>
      <protection locked="0"/>
    </xf>
    <xf numFmtId="41" fontId="11" fillId="2" borderId="13" xfId="1" applyFont="1" applyFill="1" applyBorder="1" applyAlignment="1" applyProtection="1">
      <alignment horizontal="left" vertical="center" shrinkToFit="1"/>
      <protection locked="0"/>
    </xf>
    <xf numFmtId="0" fontId="12" fillId="0" borderId="5" xfId="0" applyFont="1" applyBorder="1" applyAlignment="1">
      <alignment horizontal="left" vertical="center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vertical="center" shrinkToFit="1"/>
      <protection locked="0"/>
    </xf>
    <xf numFmtId="0" fontId="11" fillId="0" borderId="6" xfId="0" applyFont="1" applyBorder="1" applyAlignment="1" applyProtection="1">
      <alignment vertical="center" shrinkToFit="1"/>
      <protection locked="0"/>
    </xf>
    <xf numFmtId="41" fontId="11" fillId="2" borderId="5" xfId="1" applyFont="1" applyFill="1" applyBorder="1" applyAlignment="1" applyProtection="1">
      <alignment horizontal="left" vertical="center" shrinkToFit="1"/>
      <protection locked="0"/>
    </xf>
    <xf numFmtId="0" fontId="11" fillId="2" borderId="5" xfId="0" applyFont="1" applyFill="1" applyBorder="1" applyAlignment="1" applyProtection="1">
      <alignment vertical="center" shrinkToFit="1"/>
      <protection locked="0"/>
    </xf>
    <xf numFmtId="0" fontId="11" fillId="2" borderId="6" xfId="0" applyFont="1" applyFill="1" applyBorder="1" applyAlignment="1" applyProtection="1">
      <alignment vertical="center" shrinkToFit="1"/>
      <protection locked="0"/>
    </xf>
    <xf numFmtId="41" fontId="11" fillId="2" borderId="5" xfId="1" applyFont="1" applyFill="1" applyBorder="1" applyAlignment="1" applyProtection="1">
      <alignment vertical="center" shrinkToFit="1"/>
      <protection locked="0"/>
    </xf>
    <xf numFmtId="41" fontId="11" fillId="2" borderId="6" xfId="1" applyFont="1" applyFill="1" applyBorder="1" applyAlignment="1" applyProtection="1">
      <alignment vertical="center" shrinkToFit="1"/>
      <protection locked="0"/>
    </xf>
    <xf numFmtId="0" fontId="11" fillId="4" borderId="5" xfId="0" applyFont="1" applyFill="1" applyBorder="1" applyAlignment="1" applyProtection="1">
      <alignment horizontal="center" vertical="center" shrinkToFit="1"/>
      <protection locked="0"/>
    </xf>
    <xf numFmtId="177" fontId="11" fillId="2" borderId="5" xfId="0" applyNumberFormat="1" applyFont="1" applyFill="1" applyBorder="1" applyAlignment="1" applyProtection="1">
      <alignment horizontal="left" vertical="center" shrinkToFi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 applyProtection="1">
      <alignment horizontal="left" vertical="center" wrapText="1" shrinkToFit="1"/>
      <protection locked="0"/>
    </xf>
    <xf numFmtId="0" fontId="11" fillId="2" borderId="18" xfId="0" applyFont="1" applyFill="1" applyBorder="1" applyAlignment="1" applyProtection="1">
      <alignment horizontal="left" vertical="center" wrapText="1" shrinkToFit="1"/>
      <protection locked="0"/>
    </xf>
    <xf numFmtId="0" fontId="11" fillId="2" borderId="24" xfId="0" applyFont="1" applyFill="1" applyBorder="1" applyAlignment="1" applyProtection="1">
      <alignment horizontal="left" vertical="center" wrapText="1" shrinkToFit="1"/>
      <protection locked="0"/>
    </xf>
    <xf numFmtId="0" fontId="11" fillId="2" borderId="25" xfId="0" applyFont="1" applyFill="1" applyBorder="1" applyAlignment="1" applyProtection="1">
      <alignment horizontal="left" vertical="center" wrapText="1" shrinkToFit="1"/>
      <protection locked="0"/>
    </xf>
    <xf numFmtId="0" fontId="11" fillId="2" borderId="22" xfId="0" applyFont="1" applyFill="1" applyBorder="1" applyAlignment="1" applyProtection="1">
      <alignment horizontal="left" vertical="center" shrinkToFit="1"/>
      <protection locked="0"/>
    </xf>
    <xf numFmtId="0" fontId="11" fillId="2" borderId="23" xfId="0" applyFont="1" applyFill="1" applyBorder="1" applyAlignment="1" applyProtection="1">
      <alignment horizontal="left" vertical="center" shrinkToFit="1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0" fontId="11" fillId="2" borderId="26" xfId="0" applyFont="1" applyFill="1" applyBorder="1" applyAlignment="1" applyProtection="1">
      <alignment horizontal="left" vertical="center" shrinkToFit="1"/>
      <protection locked="0"/>
    </xf>
    <xf numFmtId="0" fontId="11" fillId="2" borderId="27" xfId="0" applyFont="1" applyFill="1" applyBorder="1" applyAlignment="1" applyProtection="1">
      <alignment horizontal="left" vertical="center" shrinkToFit="1"/>
      <protection locked="0"/>
    </xf>
    <xf numFmtId="0" fontId="11" fillId="2" borderId="17" xfId="0" applyFont="1" applyFill="1" applyBorder="1" applyAlignment="1" applyProtection="1">
      <alignment vertical="center" wrapText="1" shrinkToFit="1"/>
      <protection locked="0"/>
    </xf>
    <xf numFmtId="0" fontId="11" fillId="2" borderId="18" xfId="0" applyFont="1" applyFill="1" applyBorder="1" applyAlignment="1" applyProtection="1">
      <alignment vertical="center" wrapText="1" shrinkToFit="1"/>
      <protection locked="0"/>
    </xf>
    <xf numFmtId="0" fontId="11" fillId="2" borderId="24" xfId="0" applyFont="1" applyFill="1" applyBorder="1" applyAlignment="1" applyProtection="1">
      <alignment vertical="center" wrapText="1" shrinkToFit="1"/>
      <protection locked="0"/>
    </xf>
    <xf numFmtId="0" fontId="11" fillId="2" borderId="25" xfId="0" applyFont="1" applyFill="1" applyBorder="1" applyAlignment="1" applyProtection="1">
      <alignment vertical="center" wrapText="1" shrinkToFit="1"/>
      <protection locked="0"/>
    </xf>
    <xf numFmtId="0" fontId="11" fillId="2" borderId="22" xfId="0" applyFont="1" applyFill="1" applyBorder="1" applyAlignment="1" applyProtection="1">
      <alignment vertical="center" shrinkToFit="1"/>
      <protection locked="0"/>
    </xf>
    <xf numFmtId="0" fontId="11" fillId="2" borderId="23" xfId="0" applyFont="1" applyFill="1" applyBorder="1" applyAlignment="1" applyProtection="1">
      <alignment vertical="center" shrinkToFit="1"/>
      <protection locked="0"/>
    </xf>
    <xf numFmtId="0" fontId="8" fillId="2" borderId="0" xfId="0" applyFont="1" applyFill="1" applyAlignment="1" applyProtection="1">
      <alignment horizontal="left" vertical="center" shrinkToFit="1"/>
      <protection locked="0"/>
    </xf>
    <xf numFmtId="0" fontId="17" fillId="2" borderId="10" xfId="0" applyFont="1" applyFill="1" applyBorder="1" applyAlignment="1" applyProtection="1">
      <alignment horizontal="right" vertical="center" shrinkToFit="1"/>
      <protection locked="0"/>
    </xf>
    <xf numFmtId="41" fontId="13" fillId="3" borderId="2" xfId="1" applyFont="1" applyFill="1" applyBorder="1" applyAlignment="1" applyProtection="1">
      <alignment horizontal="center" vertical="center" shrinkToFit="1"/>
      <protection locked="0"/>
    </xf>
    <xf numFmtId="41" fontId="13" fillId="3" borderId="3" xfId="1" applyFont="1" applyFill="1" applyBorder="1" applyAlignment="1" applyProtection="1">
      <alignment horizontal="center" vertical="center" shrinkToFit="1"/>
      <protection locked="0"/>
    </xf>
    <xf numFmtId="0" fontId="11" fillId="2" borderId="24" xfId="0" applyFont="1" applyFill="1" applyBorder="1" applyAlignment="1" applyProtection="1">
      <alignment vertical="center" shrinkToFit="1"/>
      <protection locked="0"/>
    </xf>
    <xf numFmtId="0" fontId="11" fillId="2" borderId="25" xfId="0" applyFont="1" applyFill="1" applyBorder="1" applyAlignment="1" applyProtection="1">
      <alignment vertical="center" shrinkToFit="1"/>
      <protection locked="0"/>
    </xf>
    <xf numFmtId="0" fontId="11" fillId="0" borderId="8" xfId="0" applyFont="1" applyBorder="1" applyAlignment="1" applyProtection="1">
      <alignment horizontal="right" vertical="center"/>
      <protection locked="0"/>
    </xf>
    <xf numFmtId="0" fontId="10" fillId="4" borderId="8" xfId="0" applyFont="1" applyFill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right" vertical="center"/>
      <protection locked="0"/>
    </xf>
    <xf numFmtId="0" fontId="10" fillId="4" borderId="4" xfId="0" applyFont="1" applyFill="1" applyBorder="1" applyAlignment="1" applyProtection="1">
      <alignment horizontal="center" vertical="center" wrapText="1"/>
      <protection locked="0"/>
    </xf>
    <xf numFmtId="0" fontId="17" fillId="2" borderId="17" xfId="0" applyFont="1" applyFill="1" applyBorder="1" applyAlignment="1" applyProtection="1">
      <alignment horizontal="left" vertical="center" wrapText="1" shrinkToFit="1"/>
      <protection locked="0"/>
    </xf>
    <xf numFmtId="0" fontId="17" fillId="2" borderId="18" xfId="0" applyFont="1" applyFill="1" applyBorder="1" applyAlignment="1" applyProtection="1">
      <alignment horizontal="left" vertical="center" wrapText="1" shrinkToFit="1"/>
      <protection locked="0"/>
    </xf>
    <xf numFmtId="0" fontId="17" fillId="2" borderId="17" xfId="0" applyFont="1" applyFill="1" applyBorder="1" applyAlignment="1" applyProtection="1">
      <alignment vertical="center" wrapText="1" shrinkToFit="1"/>
      <protection locked="0"/>
    </xf>
    <xf numFmtId="0" fontId="17" fillId="2" borderId="18" xfId="0" applyFont="1" applyFill="1" applyBorder="1" applyAlignment="1" applyProtection="1">
      <alignment vertical="center" wrapText="1" shrinkToFit="1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2" borderId="28" xfId="0" applyFont="1" applyFill="1" applyBorder="1" applyAlignment="1" applyProtection="1">
      <alignment horizontal="center" vertical="center" wrapText="1" shrinkToFit="1"/>
      <protection locked="0"/>
    </xf>
    <xf numFmtId="0" fontId="11" fillId="2" borderId="29" xfId="0" applyFont="1" applyFill="1" applyBorder="1" applyAlignment="1" applyProtection="1">
      <alignment horizontal="center" vertical="center" wrapText="1" shrinkToFit="1"/>
      <protection locked="0"/>
    </xf>
    <xf numFmtId="0" fontId="11" fillId="2" borderId="24" xfId="0" applyFont="1" applyFill="1" applyBorder="1" applyAlignment="1" applyProtection="1">
      <alignment horizontal="center" vertical="center" wrapText="1" shrinkToFit="1"/>
      <protection locked="0"/>
    </xf>
    <xf numFmtId="0" fontId="11" fillId="2" borderId="25" xfId="0" applyFont="1" applyFill="1" applyBorder="1" applyAlignment="1" applyProtection="1">
      <alignment horizontal="center" vertical="center" wrapText="1" shrinkToFit="1"/>
      <protection locked="0"/>
    </xf>
    <xf numFmtId="0" fontId="11" fillId="2" borderId="22" xfId="0" applyFont="1" applyFill="1" applyBorder="1" applyAlignment="1" applyProtection="1">
      <alignment horizontal="center" vertical="center" shrinkToFit="1"/>
      <protection locked="0"/>
    </xf>
    <xf numFmtId="0" fontId="11" fillId="2" borderId="23" xfId="0" applyFont="1" applyFill="1" applyBorder="1" applyAlignment="1" applyProtection="1">
      <alignment horizontal="center" vertical="center" shrinkToFit="1"/>
      <protection locked="0"/>
    </xf>
    <xf numFmtId="0" fontId="10" fillId="4" borderId="30" xfId="0" applyFont="1" applyFill="1" applyBorder="1" applyAlignment="1" applyProtection="1">
      <alignment horizontal="center" vertical="center" wrapText="1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316188</xdr:colOff>
      <xdr:row>32</xdr:row>
      <xdr:rowOff>67620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E22603-8D2E-6EF0-C058-A6F6CCE3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46388" cy="677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163423</xdr:colOff>
      <xdr:row>0</xdr:row>
      <xdr:rowOff>217170</xdr:rowOff>
    </xdr:from>
    <xdr:to>
      <xdr:col>1</xdr:col>
      <xdr:colOff>392558</xdr:colOff>
      <xdr:row>2</xdr:row>
      <xdr:rowOff>123825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6BC5169-D3FC-45D2-A606-CE118017B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423" y="217170"/>
          <a:ext cx="1591210" cy="52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5174-45DA-4A7E-9E3D-D61C1428385E}">
  <dimension ref="A1"/>
  <sheetViews>
    <sheetView view="pageBreakPreview" zoomScale="60" zoomScaleNormal="100" workbookViewId="0">
      <selection activeCell="X22" sqref="X22"/>
    </sheetView>
  </sheetViews>
  <sheetFormatPr defaultRowHeight="16.5"/>
  <sheetData/>
  <phoneticPr fontId="2" type="noConversion"/>
  <pageMargins left="0.7" right="0.7" top="0.75" bottom="0.75" header="0.3" footer="0.3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9E66-136B-4480-B12B-8BCDBE2DB76D}">
  <sheetPr>
    <pageSetUpPr fitToPage="1"/>
  </sheetPr>
  <dimension ref="A1:AG76"/>
  <sheetViews>
    <sheetView tabSelected="1" zoomScaleNormal="100" workbookViewId="0">
      <selection activeCell="A5" sqref="A5"/>
    </sheetView>
  </sheetViews>
  <sheetFormatPr defaultRowHeight="16.5"/>
  <cols>
    <col min="1" max="1" width="17.875" customWidth="1"/>
    <col min="2" max="2" width="13.5" customWidth="1"/>
    <col min="3" max="3" width="11.75" customWidth="1"/>
    <col min="4" max="4" width="7" customWidth="1"/>
    <col min="5" max="5" width="11.25" customWidth="1"/>
    <col min="6" max="6" width="10.5" bestFit="1" customWidth="1"/>
    <col min="7" max="7" width="10.375" customWidth="1"/>
    <col min="8" max="8" width="10.5" customWidth="1"/>
    <col min="9" max="10" width="10.75" customWidth="1"/>
    <col min="11" max="11" width="10.875" customWidth="1"/>
    <col min="12" max="12" width="11.125" customWidth="1"/>
  </cols>
  <sheetData>
    <row r="1" spans="1:12" s="1" customFormat="1" ht="20.100000000000001" customHeight="1">
      <c r="A1" s="72" t="s">
        <v>40</v>
      </c>
      <c r="B1" s="72"/>
      <c r="C1" s="72"/>
      <c r="D1" s="72"/>
      <c r="E1" s="72"/>
      <c r="F1" s="72"/>
      <c r="G1" s="72"/>
      <c r="H1" s="72"/>
      <c r="I1" s="72"/>
      <c r="J1" s="73"/>
      <c r="K1" s="15" t="s">
        <v>0</v>
      </c>
      <c r="L1" s="15" t="s">
        <v>1</v>
      </c>
    </row>
    <row r="2" spans="1:12" s="1" customFormat="1" ht="29.25" customHeight="1">
      <c r="A2" s="72"/>
      <c r="B2" s="72"/>
      <c r="C2" s="72"/>
      <c r="D2" s="72"/>
      <c r="E2" s="72"/>
      <c r="F2" s="72"/>
      <c r="G2" s="72"/>
      <c r="H2" s="72"/>
      <c r="I2" s="72"/>
      <c r="J2" s="73"/>
      <c r="K2" s="56"/>
      <c r="L2" s="56"/>
    </row>
    <row r="3" spans="1:12" s="1" customFormat="1" ht="32.25" customHeight="1">
      <c r="A3" s="72"/>
      <c r="B3" s="72"/>
      <c r="C3" s="72"/>
      <c r="D3" s="72"/>
      <c r="E3" s="72"/>
      <c r="F3" s="72"/>
      <c r="G3" s="72"/>
      <c r="H3" s="72"/>
      <c r="I3" s="72"/>
      <c r="J3" s="73"/>
      <c r="K3" s="56"/>
      <c r="L3" s="56"/>
    </row>
    <row r="4" spans="1:12" s="1" customFormat="1" ht="21.95" customHeight="1">
      <c r="A4" s="1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s="1" customFormat="1" ht="21.95" customHeight="1">
      <c r="A5" s="8" t="s">
        <v>6</v>
      </c>
      <c r="B5" s="57"/>
      <c r="C5" s="58"/>
      <c r="D5" s="58"/>
      <c r="E5" s="58"/>
      <c r="F5" s="58"/>
      <c r="G5" s="59"/>
      <c r="H5" s="59"/>
      <c r="I5" s="58"/>
      <c r="J5" s="58"/>
      <c r="K5" s="58"/>
      <c r="L5" s="60"/>
    </row>
    <row r="6" spans="1:12" s="1" customFormat="1" ht="21.95" customHeight="1">
      <c r="A6" s="9" t="s">
        <v>5</v>
      </c>
      <c r="B6" s="65"/>
      <c r="C6" s="65"/>
      <c r="D6" s="65"/>
      <c r="E6" s="65"/>
      <c r="F6" s="65"/>
      <c r="G6" s="70" t="s">
        <v>39</v>
      </c>
      <c r="H6" s="70"/>
      <c r="I6" s="66"/>
      <c r="J6" s="66"/>
      <c r="K6" s="66"/>
      <c r="L6" s="67"/>
    </row>
    <row r="7" spans="1:12" s="1" customFormat="1" ht="21.95" customHeight="1">
      <c r="A7" s="9" t="s">
        <v>17</v>
      </c>
      <c r="B7" s="24"/>
      <c r="C7" s="25"/>
      <c r="D7" s="25"/>
      <c r="E7" s="25"/>
      <c r="F7" s="26"/>
      <c r="G7" s="70" t="s">
        <v>30</v>
      </c>
      <c r="H7" s="70"/>
      <c r="I7" s="68"/>
      <c r="J7" s="68"/>
      <c r="K7" s="68"/>
      <c r="L7" s="69"/>
    </row>
    <row r="8" spans="1:12" s="1" customFormat="1" ht="21.95" customHeight="1">
      <c r="A8" s="9" t="s">
        <v>11</v>
      </c>
      <c r="B8" s="65"/>
      <c r="C8" s="65"/>
      <c r="D8" s="65"/>
      <c r="E8" s="65"/>
      <c r="F8" s="65"/>
      <c r="G8" s="62" t="s">
        <v>37</v>
      </c>
      <c r="H8" s="62"/>
      <c r="I8" s="12"/>
      <c r="J8" s="13" t="s">
        <v>31</v>
      </c>
      <c r="K8" s="13"/>
      <c r="L8" s="14"/>
    </row>
    <row r="9" spans="1:12" s="1" customFormat="1" ht="21.95" customHeight="1">
      <c r="A9" s="9" t="s">
        <v>8</v>
      </c>
      <c r="B9" s="18"/>
      <c r="C9" s="19" t="s">
        <v>31</v>
      </c>
      <c r="D9" s="16"/>
      <c r="E9" s="16"/>
      <c r="F9" s="17"/>
      <c r="G9" s="62" t="s">
        <v>9</v>
      </c>
      <c r="H9" s="62"/>
      <c r="I9" s="63"/>
      <c r="J9" s="63"/>
      <c r="K9" s="63"/>
      <c r="L9" s="64"/>
    </row>
    <row r="10" spans="1:12" s="1" customFormat="1" ht="21.95" customHeight="1">
      <c r="A10" s="9" t="s">
        <v>7</v>
      </c>
      <c r="B10" s="71"/>
      <c r="C10" s="71"/>
      <c r="D10" s="71"/>
      <c r="E10" s="71"/>
      <c r="F10" s="71"/>
      <c r="G10" s="62" t="s">
        <v>38</v>
      </c>
      <c r="H10" s="62"/>
      <c r="I10" s="63"/>
      <c r="J10" s="63"/>
      <c r="K10" s="63"/>
      <c r="L10" s="64"/>
    </row>
    <row r="11" spans="1:12" s="1" customFormat="1" ht="21.95" customHeight="1">
      <c r="A11" s="9" t="s">
        <v>12</v>
      </c>
      <c r="B11" s="61"/>
      <c r="C11" s="61"/>
      <c r="D11" s="61"/>
      <c r="E11" s="61"/>
      <c r="F11" s="61"/>
      <c r="G11" s="62" t="s">
        <v>10</v>
      </c>
      <c r="H11" s="62"/>
      <c r="I11" s="63"/>
      <c r="J11" s="63"/>
      <c r="K11" s="63"/>
      <c r="L11" s="64"/>
    </row>
    <row r="12" spans="1:12" s="1" customFormat="1" ht="21.95" customHeight="1">
      <c r="A12" s="74" t="s">
        <v>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s="1" customFormat="1" ht="21.95" customHeight="1">
      <c r="A13" s="74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s="1" customFormat="1" ht="21.95" customHeight="1">
      <c r="A14" s="74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s="1" customFormat="1" ht="21.95" customHeight="1">
      <c r="A15" s="74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1" customFormat="1" ht="21.95" customHeight="1">
      <c r="A16" s="74" t="s">
        <v>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s="1" customFormat="1" ht="21.95" customHeight="1">
      <c r="A17" s="74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s="1" customFormat="1" ht="21.95" customHeight="1">
      <c r="A18" s="74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s="1" customFormat="1" ht="21.95" customHeight="1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 s="1" customFormat="1" ht="21.9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s="1" customFormat="1" ht="21.95" customHeight="1">
      <c r="A21" s="90" t="s">
        <v>41</v>
      </c>
      <c r="B21" s="90"/>
      <c r="C21" s="5"/>
      <c r="D21" s="5"/>
      <c r="E21" s="5"/>
      <c r="F21" s="91" t="s">
        <v>64</v>
      </c>
      <c r="G21" s="91"/>
      <c r="H21" s="91"/>
      <c r="I21" s="91"/>
      <c r="J21" s="91"/>
      <c r="K21" s="91"/>
      <c r="L21" s="91"/>
    </row>
    <row r="22" spans="1:12" s="1" customFormat="1" ht="21.95" customHeight="1">
      <c r="A22" s="20"/>
      <c r="B22" s="21" t="s">
        <v>51</v>
      </c>
      <c r="C22" s="92" t="s">
        <v>46</v>
      </c>
      <c r="D22" s="92"/>
      <c r="E22" s="92" t="s">
        <v>52</v>
      </c>
      <c r="F22" s="92"/>
      <c r="G22" s="92"/>
      <c r="H22" s="92" t="s">
        <v>26</v>
      </c>
      <c r="I22" s="92"/>
      <c r="J22" s="92"/>
      <c r="K22" s="92"/>
      <c r="L22" s="93"/>
    </row>
    <row r="23" spans="1:12" s="1" customFormat="1" ht="21.95" customHeight="1">
      <c r="A23" s="9" t="s">
        <v>18</v>
      </c>
      <c r="B23" s="22" t="s">
        <v>47</v>
      </c>
      <c r="C23" s="47" t="s">
        <v>56</v>
      </c>
      <c r="D23" s="47"/>
      <c r="E23" s="48" t="s">
        <v>48</v>
      </c>
      <c r="F23" s="48"/>
      <c r="G23" s="48"/>
      <c r="H23" s="51"/>
      <c r="I23" s="51"/>
      <c r="J23" s="51"/>
      <c r="K23" s="51"/>
      <c r="L23" s="52"/>
    </row>
    <row r="24" spans="1:12" s="1" customFormat="1" ht="21.95" customHeight="1">
      <c r="A24" s="9" t="s">
        <v>43</v>
      </c>
      <c r="B24" s="22" t="s">
        <v>47</v>
      </c>
      <c r="C24" s="47" t="s">
        <v>58</v>
      </c>
      <c r="D24" s="47"/>
      <c r="E24" s="48" t="s">
        <v>49</v>
      </c>
      <c r="F24" s="48"/>
      <c r="G24" s="48"/>
      <c r="H24" s="51"/>
      <c r="I24" s="51"/>
      <c r="J24" s="51"/>
      <c r="K24" s="51"/>
      <c r="L24" s="52"/>
    </row>
    <row r="25" spans="1:12" s="1" customFormat="1" ht="21.95" customHeight="1">
      <c r="A25" s="9" t="s">
        <v>44</v>
      </c>
      <c r="B25" s="22" t="s">
        <v>47</v>
      </c>
      <c r="C25" s="47" t="s">
        <v>60</v>
      </c>
      <c r="D25" s="47"/>
      <c r="E25" s="48" t="s">
        <v>50</v>
      </c>
      <c r="F25" s="48"/>
      <c r="G25" s="48"/>
      <c r="H25" s="51"/>
      <c r="I25" s="51"/>
      <c r="J25" s="51"/>
      <c r="K25" s="51"/>
      <c r="L25" s="52"/>
    </row>
    <row r="26" spans="1:12" s="1" customFormat="1" ht="21.95" customHeight="1">
      <c r="A26" s="9" t="s">
        <v>45</v>
      </c>
      <c r="B26" s="22" t="s">
        <v>47</v>
      </c>
      <c r="C26" s="47" t="s">
        <v>62</v>
      </c>
      <c r="D26" s="47"/>
      <c r="E26" s="48" t="s">
        <v>54</v>
      </c>
      <c r="F26" s="48"/>
      <c r="G26" s="48"/>
      <c r="H26" s="51"/>
      <c r="I26" s="51"/>
      <c r="J26" s="51"/>
      <c r="K26" s="51"/>
      <c r="L26" s="52"/>
    </row>
    <row r="27" spans="1:12" s="1" customFormat="1" ht="21.95" customHeight="1">
      <c r="A27" s="9"/>
      <c r="B27" s="22"/>
      <c r="C27" s="48"/>
      <c r="D27" s="48"/>
      <c r="E27" s="48"/>
      <c r="F27" s="48"/>
      <c r="G27" s="48"/>
      <c r="H27" s="49"/>
      <c r="I27" s="49"/>
      <c r="J27" s="49"/>
      <c r="K27" s="49"/>
      <c r="L27" s="50"/>
    </row>
    <row r="28" spans="1:12" s="1" customFormat="1" ht="21.95" customHeight="1">
      <c r="A28" s="10"/>
      <c r="B28" s="23"/>
      <c r="C28" s="55"/>
      <c r="D28" s="55"/>
      <c r="E28" s="55"/>
      <c r="F28" s="55"/>
      <c r="G28" s="55"/>
      <c r="H28" s="53"/>
      <c r="I28" s="53"/>
      <c r="J28" s="53"/>
      <c r="K28" s="53"/>
      <c r="L28" s="54"/>
    </row>
    <row r="29" spans="1:12" s="1" customFormat="1" ht="21.95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s="1" customFormat="1" ht="21.95" customHeight="1">
      <c r="A30" s="90" t="s">
        <v>4</v>
      </c>
      <c r="B30" s="90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s="1" customFormat="1" ht="21.95" customHeight="1">
      <c r="A31" s="104" t="s">
        <v>23</v>
      </c>
      <c r="B31" s="37"/>
      <c r="C31" s="27" t="s">
        <v>17</v>
      </c>
      <c r="D31" s="27" t="s">
        <v>24</v>
      </c>
      <c r="E31" s="27" t="s">
        <v>19</v>
      </c>
      <c r="F31" s="27" t="s">
        <v>20</v>
      </c>
      <c r="G31" s="27" t="s">
        <v>21</v>
      </c>
      <c r="H31" s="27" t="s">
        <v>22</v>
      </c>
      <c r="I31" s="27" t="s">
        <v>66</v>
      </c>
      <c r="J31" s="27" t="s">
        <v>67</v>
      </c>
      <c r="K31" s="27" t="s">
        <v>23</v>
      </c>
      <c r="L31" s="28" t="s">
        <v>53</v>
      </c>
    </row>
    <row r="32" spans="1:12" s="1" customFormat="1" ht="21.95" customHeight="1">
      <c r="A32" s="74"/>
      <c r="B32" s="7" t="s">
        <v>18</v>
      </c>
      <c r="C32" s="29">
        <v>1000000000</v>
      </c>
      <c r="D32" s="30">
        <v>150</v>
      </c>
      <c r="E32" s="29">
        <v>715200000</v>
      </c>
      <c r="F32" s="29">
        <v>50000000</v>
      </c>
      <c r="G32" s="29">
        <v>39200000</v>
      </c>
      <c r="H32" s="29">
        <v>54120000</v>
      </c>
      <c r="I32" s="31">
        <f>SUM(E32,F32,G32,H32)</f>
        <v>858520000</v>
      </c>
      <c r="J32" s="31">
        <f>SUM(C32-I32)</f>
        <v>141480000</v>
      </c>
      <c r="K32" s="32">
        <f>SUM(J32/C32)</f>
        <v>0.14147999999999999</v>
      </c>
      <c r="L32" s="39" t="s">
        <v>57</v>
      </c>
    </row>
    <row r="33" spans="1:33" s="1" customFormat="1" ht="21.95" customHeight="1">
      <c r="A33" s="74"/>
      <c r="B33" s="7" t="s">
        <v>43</v>
      </c>
      <c r="C33" s="29">
        <v>1000000000</v>
      </c>
      <c r="D33" s="30">
        <v>150</v>
      </c>
      <c r="E33" s="29">
        <v>715200000</v>
      </c>
      <c r="F33" s="29">
        <v>70000000</v>
      </c>
      <c r="G33" s="29">
        <v>39200000</v>
      </c>
      <c r="H33" s="29">
        <v>54120000</v>
      </c>
      <c r="I33" s="31">
        <f t="shared" ref="I33:I34" si="0">SUM(E33,F33,G33,H33)</f>
        <v>878520000</v>
      </c>
      <c r="J33" s="31">
        <f t="shared" ref="J33:J35" si="1">SUM(C33-I33)</f>
        <v>121480000</v>
      </c>
      <c r="K33" s="32">
        <f t="shared" ref="K33:K34" si="2">SUM(J33/C33)</f>
        <v>0.12148</v>
      </c>
      <c r="L33" s="39" t="s">
        <v>59</v>
      </c>
    </row>
    <row r="34" spans="1:33" s="1" customFormat="1" ht="21.95" customHeight="1">
      <c r="A34" s="74"/>
      <c r="B34" s="38" t="s">
        <v>44</v>
      </c>
      <c r="C34" s="33">
        <v>1000000000</v>
      </c>
      <c r="D34" s="34">
        <v>165</v>
      </c>
      <c r="E34" s="33">
        <v>810000000</v>
      </c>
      <c r="F34" s="33">
        <v>70000000</v>
      </c>
      <c r="G34" s="33">
        <v>39200000</v>
      </c>
      <c r="H34" s="33">
        <v>54120000</v>
      </c>
      <c r="I34" s="35">
        <f t="shared" si="0"/>
        <v>973320000</v>
      </c>
      <c r="J34" s="35">
        <f t="shared" si="1"/>
        <v>26680000</v>
      </c>
      <c r="K34" s="36">
        <f t="shared" si="2"/>
        <v>2.6679999999999999E-2</v>
      </c>
      <c r="L34" s="40" t="s">
        <v>61</v>
      </c>
    </row>
    <row r="35" spans="1:33" s="1" customFormat="1" ht="21.95" customHeight="1">
      <c r="A35" s="74"/>
      <c r="B35" s="41" t="s">
        <v>55</v>
      </c>
      <c r="C35" s="42">
        <v>1000000000</v>
      </c>
      <c r="D35" s="43">
        <v>160</v>
      </c>
      <c r="E35" s="42">
        <v>780000000</v>
      </c>
      <c r="F35" s="42">
        <v>70000000</v>
      </c>
      <c r="G35" s="42">
        <v>38400000</v>
      </c>
      <c r="H35" s="42">
        <v>54120000</v>
      </c>
      <c r="I35" s="44">
        <f>SUM(E35,F35,G35,H35)</f>
        <v>942520000</v>
      </c>
      <c r="J35" s="44">
        <f t="shared" si="1"/>
        <v>57480000</v>
      </c>
      <c r="K35" s="45">
        <f>SUM(J35/C35)</f>
        <v>5.7480000000000003E-2</v>
      </c>
      <c r="L35" s="46" t="s">
        <v>63</v>
      </c>
    </row>
    <row r="36" spans="1:33" s="3" customFormat="1" ht="21.95" customHeight="1">
      <c r="A36" s="111" t="s">
        <v>25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s="3" customFormat="1" ht="21.95" customHeight="1">
      <c r="A37" s="99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s="3" customFormat="1" ht="21.95" customHeight="1">
      <c r="A38" s="99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s="3" customFormat="1" ht="21.95" customHeight="1">
      <c r="A39" s="74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s="3" customFormat="1" ht="21.95" customHeight="1">
      <c r="A40" s="74" t="s">
        <v>13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s="3" customFormat="1" ht="21.95" customHeight="1">
      <c r="A41" s="74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s="3" customFormat="1" ht="21.95" customHeight="1">
      <c r="A42" s="74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s="3" customFormat="1" ht="21.95" customHeight="1">
      <c r="A43" s="74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s="3" customFormat="1" ht="21.95" customHeight="1">
      <c r="A44" s="74" t="s">
        <v>14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s="3" customFormat="1" ht="21.95" customHeight="1">
      <c r="A45" s="74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s="3" customFormat="1" ht="21.95" customHeight="1">
      <c r="A46" s="74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s="3" customFormat="1" ht="21.95" customHeight="1">
      <c r="A47" s="74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s="3" customFormat="1" ht="21.95" customHeight="1">
      <c r="A48" s="74" t="s">
        <v>15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s="3" customFormat="1" ht="21.95" customHeight="1">
      <c r="A49" s="74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s="3" customFormat="1" ht="21.95" customHeight="1">
      <c r="A50" s="74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s="3" customFormat="1" ht="21.95" customHeight="1">
      <c r="A51" s="74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s="3" customFormat="1" ht="21.95" customHeight="1">
      <c r="A52" s="99" t="s">
        <v>34</v>
      </c>
      <c r="B52" s="100" t="s">
        <v>36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s="3" customFormat="1" ht="21.95" customHeight="1">
      <c r="A53" s="99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s="3" customFormat="1" ht="21.95" customHeight="1">
      <c r="A54" s="99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s="3" customFormat="1" ht="21.95" customHeight="1">
      <c r="A55" s="74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s="3" customFormat="1" ht="21.95" customHeight="1">
      <c r="A56" s="74" t="s">
        <v>35</v>
      </c>
      <c r="B56" s="100" t="s">
        <v>65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s="3" customFormat="1" ht="21.95" customHeight="1">
      <c r="A57" s="74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s="3" customFormat="1" ht="21.95" customHeight="1">
      <c r="A58" s="74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s="3" customFormat="1" ht="21.95" customHeight="1">
      <c r="A59" s="74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s="3" customFormat="1" ht="21.95" customHeight="1">
      <c r="A60" s="74" t="s">
        <v>42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s="3" customFormat="1" ht="21.95" customHeight="1">
      <c r="A61" s="74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s="3" customFormat="1" ht="21.95" customHeight="1">
      <c r="A62" s="7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s="3" customFormat="1" ht="21.95" customHeight="1">
      <c r="A63" s="74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s="3" customFormat="1" ht="26.25" customHeight="1">
      <c r="A64" s="10" t="s">
        <v>29</v>
      </c>
      <c r="B64" s="96"/>
      <c r="C64" s="96"/>
      <c r="D64" s="96"/>
      <c r="E64" s="96"/>
      <c r="F64" s="96"/>
      <c r="G64" s="97" t="s">
        <v>28</v>
      </c>
      <c r="H64" s="97"/>
      <c r="I64" s="96" t="s">
        <v>33</v>
      </c>
      <c r="J64" s="96"/>
      <c r="K64" s="96"/>
      <c r="L64" s="9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s="3" customFormat="1" ht="21" customHeight="1">
      <c r="A65" s="4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s="3" customFormat="1" ht="21.95" customHeight="1">
      <c r="A66" s="90" t="s">
        <v>27</v>
      </c>
      <c r="B66" s="90"/>
      <c r="C66" s="6"/>
      <c r="D66" s="6"/>
      <c r="E66" s="6"/>
      <c r="F66" s="6"/>
      <c r="G66" s="6"/>
      <c r="H66" s="6"/>
      <c r="I66" s="6"/>
      <c r="J66" s="6"/>
      <c r="K66" s="6"/>
      <c r="L66" s="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s="3" customFormat="1" ht="21.95" customHeight="1">
      <c r="A67" s="104" t="s">
        <v>32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s="3" customFormat="1" ht="21.95" customHeight="1">
      <c r="A68" s="74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s="3" customFormat="1" ht="21.95" customHeight="1">
      <c r="A69" s="74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s="3" customFormat="1" ht="21.95" customHeight="1">
      <c r="A70" s="74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1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s="3" customFormat="1" ht="25.5" customHeight="1">
      <c r="A71" s="10" t="s">
        <v>29</v>
      </c>
      <c r="B71" s="96"/>
      <c r="C71" s="96"/>
      <c r="D71" s="96"/>
      <c r="E71" s="96"/>
      <c r="F71" s="96"/>
      <c r="G71" s="97" t="s">
        <v>28</v>
      </c>
      <c r="H71" s="97"/>
      <c r="I71" s="96" t="s">
        <v>33</v>
      </c>
      <c r="J71" s="96"/>
      <c r="K71" s="96"/>
      <c r="L71" s="9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s="1" customFormat="1" ht="21.9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33" ht="21.95" customHeight="1"/>
    <row r="74" spans="1:33" ht="21.95" customHeight="1"/>
    <row r="75" spans="1:33" ht="21.95" customHeight="1"/>
    <row r="76" spans="1:33" ht="21.95" customHeight="1"/>
  </sheetData>
  <mergeCells count="103">
    <mergeCell ref="B64:F64"/>
    <mergeCell ref="G64:H64"/>
    <mergeCell ref="I64:L64"/>
    <mergeCell ref="A60:A63"/>
    <mergeCell ref="B61:L61"/>
    <mergeCell ref="A44:A47"/>
    <mergeCell ref="B44:L44"/>
    <mergeCell ref="B46:L46"/>
    <mergeCell ref="B47:L47"/>
    <mergeCell ref="B45:L45"/>
    <mergeCell ref="B56:L56"/>
    <mergeCell ref="B58:L58"/>
    <mergeCell ref="B59:L59"/>
    <mergeCell ref="A30:B30"/>
    <mergeCell ref="A31:A35"/>
    <mergeCell ref="A36:A39"/>
    <mergeCell ref="B36:L36"/>
    <mergeCell ref="B38:L38"/>
    <mergeCell ref="B39:L39"/>
    <mergeCell ref="B41:L41"/>
    <mergeCell ref="B62:L62"/>
    <mergeCell ref="B71:F71"/>
    <mergeCell ref="G71:H71"/>
    <mergeCell ref="I71:L71"/>
    <mergeCell ref="A48:A51"/>
    <mergeCell ref="B48:L48"/>
    <mergeCell ref="B50:L50"/>
    <mergeCell ref="B51:L51"/>
    <mergeCell ref="A52:A55"/>
    <mergeCell ref="B52:L52"/>
    <mergeCell ref="B54:L54"/>
    <mergeCell ref="B55:L55"/>
    <mergeCell ref="B49:L49"/>
    <mergeCell ref="B57:L57"/>
    <mergeCell ref="B53:L53"/>
    <mergeCell ref="B60:L60"/>
    <mergeCell ref="A66:B66"/>
    <mergeCell ref="A67:A70"/>
    <mergeCell ref="B67:L67"/>
    <mergeCell ref="B68:L68"/>
    <mergeCell ref="B69:L69"/>
    <mergeCell ref="B70:L70"/>
    <mergeCell ref="A56:A59"/>
    <mergeCell ref="B63:L63"/>
    <mergeCell ref="A12:A15"/>
    <mergeCell ref="B12:L12"/>
    <mergeCell ref="B14:L14"/>
    <mergeCell ref="B15:L15"/>
    <mergeCell ref="A16:A19"/>
    <mergeCell ref="B16:L16"/>
    <mergeCell ref="B18:L18"/>
    <mergeCell ref="B19:L19"/>
    <mergeCell ref="A40:A43"/>
    <mergeCell ref="B40:L40"/>
    <mergeCell ref="B42:L42"/>
    <mergeCell ref="B43:L43"/>
    <mergeCell ref="A21:B21"/>
    <mergeCell ref="B37:L37"/>
    <mergeCell ref="F21:L21"/>
    <mergeCell ref="B17:L17"/>
    <mergeCell ref="B13:L13"/>
    <mergeCell ref="C25:D25"/>
    <mergeCell ref="C26:D26"/>
    <mergeCell ref="C22:D22"/>
    <mergeCell ref="E22:G22"/>
    <mergeCell ref="H22:L22"/>
    <mergeCell ref="C28:D28"/>
    <mergeCell ref="H25:L25"/>
    <mergeCell ref="K2:K3"/>
    <mergeCell ref="L2:L3"/>
    <mergeCell ref="B5:F5"/>
    <mergeCell ref="G5:H5"/>
    <mergeCell ref="I5:L5"/>
    <mergeCell ref="B11:F11"/>
    <mergeCell ref="G11:H11"/>
    <mergeCell ref="I11:L11"/>
    <mergeCell ref="B6:F6"/>
    <mergeCell ref="I6:L6"/>
    <mergeCell ref="I7:L7"/>
    <mergeCell ref="B8:F8"/>
    <mergeCell ref="G8:H8"/>
    <mergeCell ref="G7:H7"/>
    <mergeCell ref="G6:H6"/>
    <mergeCell ref="G9:H9"/>
    <mergeCell ref="I9:L9"/>
    <mergeCell ref="B10:F10"/>
    <mergeCell ref="G10:H10"/>
    <mergeCell ref="I10:L10"/>
    <mergeCell ref="A1:J3"/>
    <mergeCell ref="C23:D23"/>
    <mergeCell ref="C27:D27"/>
    <mergeCell ref="E27:G27"/>
    <mergeCell ref="H27:L27"/>
    <mergeCell ref="H26:L26"/>
    <mergeCell ref="H28:L28"/>
    <mergeCell ref="H23:L23"/>
    <mergeCell ref="H24:L24"/>
    <mergeCell ref="E23:G23"/>
    <mergeCell ref="E24:G24"/>
    <mergeCell ref="E25:G25"/>
    <mergeCell ref="E26:G26"/>
    <mergeCell ref="E28:G28"/>
    <mergeCell ref="C24:D2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9" fitToHeight="0" orientation="portrait" cellComments="asDisplayed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프로젝트 종료 프로세스</vt:lpstr>
      <vt:lpstr>프로젝트 결과 보고서</vt:lpstr>
      <vt:lpstr>'프로젝트 종료 프로세스'!Print_Area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채혜령</dc:creator>
  <cp:lastModifiedBy>이 경한</cp:lastModifiedBy>
  <cp:lastPrinted>2025-02-17T06:58:32Z</cp:lastPrinted>
  <dcterms:created xsi:type="dcterms:W3CDTF">2024-07-29T05:23:04Z</dcterms:created>
  <dcterms:modified xsi:type="dcterms:W3CDTF">2025-02-17T06:58:35Z</dcterms:modified>
</cp:coreProperties>
</file>