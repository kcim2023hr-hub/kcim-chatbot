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3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4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5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6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7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9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10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drawings/drawing11.xml" ContentType="application/vnd.openxmlformats-officedocument.drawing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drawings/drawing12.xml" ContentType="application/vnd.openxmlformats-officedocument.drawing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drawings/drawing13.xml" ContentType="application/vnd.openxmlformats-officedocument.drawing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drawings/drawing14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1.입사 및 퇴사\"/>
    </mc:Choice>
  </mc:AlternateContent>
  <xr:revisionPtr revIDLastSave="0" documentId="13_ncr:1_{750AA4B1-7736-40E3-BB09-2029523C79E0}" xr6:coauthVersionLast="47" xr6:coauthVersionMax="47" xr10:uidLastSave="{00000000-0000-0000-0000-000000000000}"/>
  <bookViews>
    <workbookView xWindow="28680" yWindow="-120" windowWidth="29040" windowHeight="15720" xr2:uid="{520A7071-DE28-409F-9BD6-71B8EF86BB9F}"/>
  </bookViews>
  <sheets>
    <sheet name="채용계획서_솔루션영업팀" sheetId="50" r:id="rId1"/>
    <sheet name="채용계획서_TS팀" sheetId="51" r:id="rId2"/>
    <sheet name="채용계획서_CS팀" sheetId="52" r:id="rId3"/>
    <sheet name="채용계획서_DT영업팀" sheetId="53" r:id="rId4"/>
    <sheet name="채용계획서_컨설팅팀" sheetId="54" r:id="rId5"/>
    <sheet name="채용계획서_마케팅팀" sheetId="55" r:id="rId6"/>
    <sheet name="채용계획서_BIM1팀" sheetId="56" r:id="rId7"/>
    <sheet name="채용계획서_FAB1팀" sheetId="57" r:id="rId8"/>
    <sheet name="채용계획서_FAB2팀" sheetId="58" r:id="rId9"/>
    <sheet name="채용계획서_FAB3팀" sheetId="59" r:id="rId10"/>
    <sheet name="채용계획서_FAB4팀" sheetId="60" r:id="rId11"/>
    <sheet name="채용계획서_개발기획팀" sheetId="61" r:id="rId12"/>
    <sheet name="채용계획서_기술연구소" sheetId="62" r:id="rId13"/>
    <sheet name="채용요청서" sheetId="63" r:id="rId14"/>
  </sheets>
  <definedNames>
    <definedName name="_xlnm.Print_Area" localSheetId="6">채용계획서_BIM1팀!$B$2:$W$56</definedName>
    <definedName name="_xlnm.Print_Area" localSheetId="2">채용계획서_CS팀!$B$2:$W$56</definedName>
    <definedName name="_xlnm.Print_Area" localSheetId="3">채용계획서_DT영업팀!$B$2:$W$56</definedName>
    <definedName name="_xlnm.Print_Area" localSheetId="7">채용계획서_FAB1팀!$B$2:$W$56</definedName>
    <definedName name="_xlnm.Print_Area" localSheetId="8">채용계획서_FAB2팀!$B$2:$W$56</definedName>
    <definedName name="_xlnm.Print_Area" localSheetId="9">채용계획서_FAB3팀!$B$2:$W$56</definedName>
    <definedName name="_xlnm.Print_Area" localSheetId="10">채용계획서_FAB4팀!$B$2:$W$56</definedName>
    <definedName name="_xlnm.Print_Area" localSheetId="1">채용계획서_TS팀!$B$2:$W$56</definedName>
    <definedName name="_xlnm.Print_Area" localSheetId="11">채용계획서_개발기획팀!$B$2:$W$56</definedName>
    <definedName name="_xlnm.Print_Area" localSheetId="12">채용계획서_기술연구소!$B$2:$W$56</definedName>
    <definedName name="_xlnm.Print_Area" localSheetId="5">채용계획서_마케팅팀!$B$2:$W$56</definedName>
    <definedName name="_xlnm.Print_Area" localSheetId="0">채용계획서_솔루션영업팀!$B$2:$W$56</definedName>
    <definedName name="_xlnm.Print_Area" localSheetId="4">채용계획서_컨설팅팀!$B$2:$W$56</definedName>
    <definedName name="_xlnm.Print_Area" localSheetId="13">채용요청서!$B$2:$W$56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63" l="1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G21" i="62"/>
  <c r="E21" i="62"/>
  <c r="U20" i="62"/>
  <c r="M12" i="62"/>
  <c r="T21" i="61"/>
  <c r="S21" i="61"/>
  <c r="R21" i="61"/>
  <c r="Q21" i="61"/>
  <c r="P21" i="61"/>
  <c r="O21" i="61"/>
  <c r="N21" i="61"/>
  <c r="M21" i="61"/>
  <c r="L21" i="61"/>
  <c r="K21" i="61"/>
  <c r="J21" i="61"/>
  <c r="I21" i="61"/>
  <c r="G21" i="61"/>
  <c r="E21" i="61"/>
  <c r="U20" i="61"/>
  <c r="U21" i="61" s="1"/>
  <c r="M12" i="61"/>
  <c r="T21" i="60"/>
  <c r="S21" i="60"/>
  <c r="R21" i="60"/>
  <c r="Q21" i="60"/>
  <c r="P21" i="60"/>
  <c r="O21" i="60"/>
  <c r="N21" i="60"/>
  <c r="M21" i="60"/>
  <c r="L21" i="60"/>
  <c r="K21" i="60"/>
  <c r="J21" i="60"/>
  <c r="I21" i="60"/>
  <c r="G21" i="60"/>
  <c r="E21" i="60"/>
  <c r="U20" i="60"/>
  <c r="U21" i="60" s="1"/>
  <c r="M12" i="60"/>
  <c r="T21" i="59"/>
  <c r="S21" i="59"/>
  <c r="R21" i="59"/>
  <c r="Q21" i="59"/>
  <c r="P21" i="59"/>
  <c r="O21" i="59"/>
  <c r="N21" i="59"/>
  <c r="M21" i="59"/>
  <c r="L21" i="59"/>
  <c r="K21" i="59"/>
  <c r="J21" i="59"/>
  <c r="I21" i="59"/>
  <c r="G21" i="59"/>
  <c r="E21" i="59"/>
  <c r="U20" i="59"/>
  <c r="U21" i="59" s="1"/>
  <c r="M12" i="59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G21" i="58"/>
  <c r="E21" i="58"/>
  <c r="U20" i="58"/>
  <c r="M12" i="58"/>
  <c r="T21" i="57"/>
  <c r="S21" i="57"/>
  <c r="R21" i="57"/>
  <c r="Q21" i="57"/>
  <c r="P21" i="57"/>
  <c r="O21" i="57"/>
  <c r="N21" i="57"/>
  <c r="M21" i="57"/>
  <c r="L21" i="57"/>
  <c r="K21" i="57"/>
  <c r="J21" i="57"/>
  <c r="I21" i="57"/>
  <c r="G21" i="57"/>
  <c r="E21" i="57"/>
  <c r="U20" i="57"/>
  <c r="U21" i="57" s="1"/>
  <c r="M12" i="57"/>
  <c r="T21" i="56"/>
  <c r="S21" i="56"/>
  <c r="R21" i="56"/>
  <c r="Q21" i="56"/>
  <c r="P21" i="56"/>
  <c r="O21" i="56"/>
  <c r="N21" i="56"/>
  <c r="M21" i="56"/>
  <c r="L21" i="56"/>
  <c r="K21" i="56"/>
  <c r="J21" i="56"/>
  <c r="I21" i="56"/>
  <c r="G21" i="56"/>
  <c r="E21" i="56"/>
  <c r="U20" i="56"/>
  <c r="U21" i="56" s="1"/>
  <c r="M12" i="56"/>
  <c r="T21" i="55"/>
  <c r="S21" i="55"/>
  <c r="R21" i="55"/>
  <c r="Q21" i="55"/>
  <c r="P21" i="55"/>
  <c r="O21" i="55"/>
  <c r="N21" i="55"/>
  <c r="M21" i="55"/>
  <c r="L21" i="55"/>
  <c r="K21" i="55"/>
  <c r="J21" i="55"/>
  <c r="I21" i="55"/>
  <c r="G21" i="55"/>
  <c r="E21" i="55"/>
  <c r="U20" i="55"/>
  <c r="U21" i="55" s="1"/>
  <c r="M12" i="55"/>
  <c r="T21" i="54"/>
  <c r="S21" i="54"/>
  <c r="R21" i="54"/>
  <c r="Q21" i="54"/>
  <c r="P21" i="54"/>
  <c r="O21" i="54"/>
  <c r="N21" i="54"/>
  <c r="M21" i="54"/>
  <c r="L21" i="54"/>
  <c r="K21" i="54"/>
  <c r="J21" i="54"/>
  <c r="I21" i="54"/>
  <c r="G21" i="54"/>
  <c r="E21" i="54"/>
  <c r="U20" i="54"/>
  <c r="U21" i="54" s="1"/>
  <c r="M12" i="54"/>
  <c r="T21" i="53"/>
  <c r="S21" i="53"/>
  <c r="R21" i="53"/>
  <c r="Q21" i="53"/>
  <c r="P21" i="53"/>
  <c r="O21" i="53"/>
  <c r="N21" i="53"/>
  <c r="M21" i="53"/>
  <c r="L21" i="53"/>
  <c r="K21" i="53"/>
  <c r="J21" i="53"/>
  <c r="I21" i="53"/>
  <c r="G21" i="53"/>
  <c r="E21" i="53"/>
  <c r="U20" i="53"/>
  <c r="U21" i="53" s="1"/>
  <c r="M12" i="53"/>
  <c r="T21" i="52"/>
  <c r="S21" i="52"/>
  <c r="R21" i="52"/>
  <c r="Q21" i="52"/>
  <c r="P21" i="52"/>
  <c r="O21" i="52"/>
  <c r="N21" i="52"/>
  <c r="M21" i="52"/>
  <c r="L21" i="52"/>
  <c r="K21" i="52"/>
  <c r="J21" i="52"/>
  <c r="I21" i="52"/>
  <c r="G21" i="52"/>
  <c r="E21" i="52"/>
  <c r="U20" i="52"/>
  <c r="U21" i="52" s="1"/>
  <c r="M12" i="52"/>
  <c r="T21" i="51"/>
  <c r="S21" i="51"/>
  <c r="R21" i="51"/>
  <c r="Q21" i="51"/>
  <c r="P21" i="51"/>
  <c r="O21" i="51"/>
  <c r="N21" i="51"/>
  <c r="M21" i="51"/>
  <c r="L21" i="51"/>
  <c r="K21" i="51"/>
  <c r="J21" i="51"/>
  <c r="I21" i="51"/>
  <c r="G21" i="51"/>
  <c r="E21" i="51"/>
  <c r="U20" i="51"/>
  <c r="U21" i="51" s="1"/>
  <c r="M12" i="51"/>
  <c r="T21" i="50"/>
  <c r="S21" i="50"/>
  <c r="R21" i="50"/>
  <c r="Q21" i="50"/>
  <c r="P21" i="50"/>
  <c r="O21" i="50"/>
  <c r="N21" i="50"/>
  <c r="M21" i="50"/>
  <c r="L21" i="50"/>
  <c r="K21" i="50"/>
  <c r="J21" i="50"/>
  <c r="I21" i="50"/>
  <c r="G21" i="50"/>
  <c r="E21" i="50"/>
  <c r="U20" i="50"/>
  <c r="U21" i="50" s="1"/>
  <c r="M12" i="50"/>
</calcChain>
</file>

<file path=xl/sharedStrings.xml><?xml version="1.0" encoding="utf-8"?>
<sst xmlns="http://schemas.openxmlformats.org/spreadsheetml/2006/main" count="897" uniqueCount="135">
  <si>
    <t>문 서 종 류</t>
    <phoneticPr fontId="3" type="noConversion"/>
  </si>
  <si>
    <t>작 성 부 서</t>
    <phoneticPr fontId="3" type="noConversion"/>
  </si>
  <si>
    <t>경력</t>
  </si>
  <si>
    <t>정규직</t>
  </si>
  <si>
    <t>내  용</t>
    <phoneticPr fontId="3" type="noConversion"/>
  </si>
  <si>
    <t>※ 채용사유, 조건 (직급, 학력/전공, 연봉, 경력 및 기간, 보유기술) 담당업무 및 인력활용계획 등을 자세히 기록해 주시기 바랍니다.</t>
    <phoneticPr fontId="3" type="noConversion"/>
  </si>
  <si>
    <t>채 용 구 분</t>
    <phoneticPr fontId="3" type="noConversion"/>
  </si>
  <si>
    <t>작   성   자</t>
    <phoneticPr fontId="3" type="noConversion"/>
  </si>
  <si>
    <t>작   성   일</t>
    <phoneticPr fontId="3" type="noConversion"/>
  </si>
  <si>
    <t>채 용 요 청 서</t>
    <phoneticPr fontId="3" type="noConversion"/>
  </si>
  <si>
    <t>주요 학력사항</t>
    <phoneticPr fontId="3" type="noConversion"/>
  </si>
  <si>
    <t>최종 졸업학교</t>
    <phoneticPr fontId="3" type="noConversion"/>
  </si>
  <si>
    <t>주요 경력사항</t>
    <phoneticPr fontId="3" type="noConversion"/>
  </si>
  <si>
    <t>입사자 성명</t>
    <phoneticPr fontId="3" type="noConversion"/>
  </si>
  <si>
    <t>확정연봉</t>
    <phoneticPr fontId="3" type="noConversion"/>
  </si>
  <si>
    <t>경력
인정</t>
    <phoneticPr fontId="3" type="noConversion"/>
  </si>
  <si>
    <t>채 용 부 서</t>
    <phoneticPr fontId="3" type="noConversion"/>
  </si>
  <si>
    <t>만원</t>
    <phoneticPr fontId="3" type="noConversion"/>
  </si>
  <si>
    <t>기대효과</t>
    <phoneticPr fontId="3" type="noConversion"/>
  </si>
  <si>
    <t>3개월차</t>
    <phoneticPr fontId="3" type="noConversion"/>
  </si>
  <si>
    <t>6개월차</t>
    <phoneticPr fontId="3" type="noConversion"/>
  </si>
  <si>
    <t>9개월차</t>
    <phoneticPr fontId="3" type="noConversion"/>
  </si>
  <si>
    <t>12개월차</t>
    <phoneticPr fontId="3" type="noConversion"/>
  </si>
  <si>
    <t>채 용 계 획 서</t>
    <phoneticPr fontId="3" type="noConversion"/>
  </si>
  <si>
    <t>1분기</t>
  </si>
  <si>
    <t>2분기</t>
  </si>
  <si>
    <t>3분기</t>
  </si>
  <si>
    <t>4분기</t>
  </si>
  <si>
    <t>솔루션영업팀</t>
  </si>
  <si>
    <t>TS팀</t>
  </si>
  <si>
    <t>총계</t>
  </si>
  <si>
    <t xml:space="preserve">  채용계획서</t>
    <phoneticPr fontId="3" type="noConversion"/>
  </si>
  <si>
    <t>채용예정인원</t>
    <phoneticPr fontId="3" type="noConversion"/>
  </si>
  <si>
    <t>2. 채용 사유</t>
    <phoneticPr fontId="3" type="noConversion"/>
  </si>
  <si>
    <t xml:space="preserve"> ex. 플랜트 분야 기술지원 및 영업, 교육을 위한 인력 충원
 ex. 각 사업부(건설, MFG, 전략)의 플랜트 영업 실행에 따른 지원 필요
 ex. Factory BIM 영업 전개를 위한 MFG Named 고객사의 다양한 검토 요구</t>
    <phoneticPr fontId="3" type="noConversion"/>
  </si>
  <si>
    <t>3. 채용 조건</t>
    <phoneticPr fontId="3" type="noConversion"/>
  </si>
  <si>
    <t>4. 담당업무</t>
    <phoneticPr fontId="3" type="noConversion"/>
  </si>
  <si>
    <t xml:space="preserve"> ex. 플랜트 고객사 기술영업
 ex. 플랜트 분야 고객사의 Needs 파악 및 제안서 작성
 ex. 플랜트 제품 및 Factory BIM 영업 전개 시 고객사 방문 제안, PT
 ex. 플랜트 전문 교육 실행</t>
    <phoneticPr fontId="3" type="noConversion"/>
  </si>
  <si>
    <t>6. 첨부파일</t>
    <phoneticPr fontId="3" type="noConversion"/>
  </si>
  <si>
    <t xml:space="preserve">  채용요청서</t>
    <phoneticPr fontId="3" type="noConversion"/>
  </si>
  <si>
    <t>작 성 자</t>
    <phoneticPr fontId="3" type="noConversion"/>
  </si>
  <si>
    <t>채 용 인 원</t>
    <phoneticPr fontId="3" type="noConversion"/>
  </si>
  <si>
    <t xml:space="preserve">      PC</t>
    <phoneticPr fontId="3" type="noConversion"/>
  </si>
  <si>
    <t xml:space="preserve">      노트북</t>
    <phoneticPr fontId="3" type="noConversion"/>
  </si>
  <si>
    <t>채 용 유 형</t>
    <phoneticPr fontId="3" type="noConversion"/>
  </si>
  <si>
    <t>매니저</t>
  </si>
  <si>
    <t>1. 차량이동거리가 기준을 충족합니까?</t>
    <phoneticPr fontId="3" type="noConversion"/>
  </si>
  <si>
    <t xml:space="preserve">   (FAB BIM의 경우) 현 주거지에서 현장까지 50km 이상
   (본사 BIM의 경우) 현 주거지 및 본사 "모두"에서 현장까지 30km 이상</t>
    <phoneticPr fontId="3" type="noConversion"/>
  </si>
  <si>
    <t>국내</t>
    <phoneticPr fontId="3" type="noConversion"/>
  </si>
  <si>
    <t>해외</t>
    <phoneticPr fontId="3" type="noConversion"/>
  </si>
  <si>
    <t>선택</t>
  </si>
  <si>
    <t>1. 사용 구분</t>
    <phoneticPr fontId="3" type="noConversion"/>
  </si>
  <si>
    <t>2. 품의 필요 여부</t>
    <phoneticPr fontId="3" type="noConversion"/>
  </si>
  <si>
    <t xml:space="preserve">      (X) 기존 재고 사용</t>
    <phoneticPr fontId="3" type="noConversion"/>
  </si>
  <si>
    <t xml:space="preserve">      (O) 품의 상신 필요</t>
    <phoneticPr fontId="3" type="noConversion"/>
  </si>
  <si>
    <t>현장근무자 숙소 지원 대상자 여부 사전 체크 (본사 근무 외 현장근무 예정자만 작성)</t>
    <phoneticPr fontId="3" type="noConversion"/>
  </si>
  <si>
    <t>솔루션그룹</t>
    <phoneticPr fontId="3" type="noConversion"/>
  </si>
  <si>
    <t>BIM그룹</t>
    <phoneticPr fontId="3" type="noConversion"/>
  </si>
  <si>
    <t>사업기획그룹</t>
    <phoneticPr fontId="3" type="noConversion"/>
  </si>
  <si>
    <t>1. 연간 계획 대비 채용 진행 현황 (그룹장,소장 이상 인원 / 휴직자 제외)</t>
    <phoneticPr fontId="3" type="noConversion"/>
  </si>
  <si>
    <t>7. 기기 사용 계획</t>
    <phoneticPr fontId="3" type="noConversion"/>
  </si>
  <si>
    <t>* 품의 필요 시, 사양 등 기재</t>
    <phoneticPr fontId="3" type="noConversion"/>
  </si>
  <si>
    <t>입 사  예 정 일</t>
    <phoneticPr fontId="3" type="noConversion"/>
  </si>
  <si>
    <t>학사</t>
    <phoneticPr fontId="3" type="noConversion"/>
  </si>
  <si>
    <t>석사</t>
    <phoneticPr fontId="3" type="noConversion"/>
  </si>
  <si>
    <t>예</t>
    <phoneticPr fontId="3" type="noConversion"/>
  </si>
  <si>
    <t>아니오</t>
    <phoneticPr fontId="3" type="noConversion"/>
  </si>
  <si>
    <t>&gt;</t>
    <phoneticPr fontId="3" type="noConversion"/>
  </si>
  <si>
    <t>만   료   일</t>
    <phoneticPr fontId="3" type="noConversion"/>
  </si>
  <si>
    <t>5. 연간 인력 운영 방안</t>
    <phoneticPr fontId="3" type="noConversion"/>
  </si>
  <si>
    <t>홍길동</t>
    <phoneticPr fontId="3" type="noConversion"/>
  </si>
  <si>
    <r>
      <t>2. 현장 배치 예정 지역은 어디입니까</t>
    </r>
    <r>
      <rPr>
        <b/>
        <sz val="9"/>
        <color theme="1"/>
        <rFont val="맑은 고딕"/>
        <family val="3"/>
        <charset val="129"/>
        <scheme val="minor"/>
      </rPr>
      <t>?(목록에 없을시, 기타 선택 후 추가 기재)</t>
    </r>
    <phoneticPr fontId="3" type="noConversion"/>
  </si>
  <si>
    <t>기술연구소</t>
    <phoneticPr fontId="3" type="noConversion"/>
  </si>
  <si>
    <t>소계</t>
    <phoneticPr fontId="3" type="noConversion"/>
  </si>
  <si>
    <t>계획 대비 채용현황</t>
    <phoneticPr fontId="3" type="noConversion"/>
  </si>
  <si>
    <t>연초 계획</t>
    <phoneticPr fontId="3" type="noConversion"/>
  </si>
  <si>
    <t>초기
인원</t>
    <phoneticPr fontId="3" type="noConversion"/>
  </si>
  <si>
    <t xml:space="preserve"> ※ 채용 시점부터 12개월의 인력 운영 방안 기재 (ex. 프로젝트 투입 계획 등)</t>
    <phoneticPr fontId="3" type="noConversion"/>
  </si>
  <si>
    <t xml:space="preserve"> ※ 투입 프로젝트 등 파일 첨부</t>
    <phoneticPr fontId="3" type="noConversion"/>
  </si>
  <si>
    <t>CS팀</t>
  </si>
  <si>
    <t>문 서 번 호</t>
    <phoneticPr fontId="3" type="noConversion"/>
  </si>
  <si>
    <t>※ 계획 대비 채용현황은 연초계획에서 사업현황 및 경기상황에 따라 변경되는 인원을 월별로 파악하기 위해 작성됩니다.</t>
    <phoneticPr fontId="3" type="noConversion"/>
  </si>
  <si>
    <t>채용계획
인원</t>
    <phoneticPr fontId="3" type="noConversion"/>
  </si>
  <si>
    <t>DT사업본부</t>
    <phoneticPr fontId="3" type="noConversion"/>
  </si>
  <si>
    <t>2025년</t>
    <phoneticPr fontId="3" type="noConversion"/>
  </si>
  <si>
    <t>컨설팅그룹</t>
    <phoneticPr fontId="3" type="noConversion"/>
  </si>
  <si>
    <t>마케팅팀</t>
    <phoneticPr fontId="3" type="noConversion"/>
  </si>
  <si>
    <t>BIM1팀</t>
    <phoneticPr fontId="3" type="noConversion"/>
  </si>
  <si>
    <t>FAB1팀</t>
    <phoneticPr fontId="3" type="noConversion"/>
  </si>
  <si>
    <t>FAB2팀</t>
    <phoneticPr fontId="3" type="noConversion"/>
  </si>
  <si>
    <t>FAB3팀</t>
    <phoneticPr fontId="3" type="noConversion"/>
  </si>
  <si>
    <t>FAB4팀</t>
    <phoneticPr fontId="3" type="noConversion"/>
  </si>
  <si>
    <t>DT영업팀</t>
    <phoneticPr fontId="3" type="noConversion"/>
  </si>
  <si>
    <t>컨설팅팀</t>
    <phoneticPr fontId="3" type="noConversion"/>
  </si>
  <si>
    <t>개발기획팀</t>
    <phoneticPr fontId="3" type="noConversion"/>
  </si>
  <si>
    <t xml:space="preserve"> 2025-03-11 (월)</t>
    <phoneticPr fontId="3" type="noConversion"/>
  </si>
  <si>
    <t>솔루션그룹</t>
  </si>
  <si>
    <t>컨설팅그룹</t>
  </si>
  <si>
    <t>DT영업팀</t>
  </si>
  <si>
    <t>BIM그룹</t>
  </si>
  <si>
    <t>BIM1팀</t>
  </si>
  <si>
    <t>FAB1팀</t>
  </si>
  <si>
    <t>FAB2팀</t>
  </si>
  <si>
    <t>마케팅팀</t>
  </si>
  <si>
    <t>FAB3팀</t>
  </si>
  <si>
    <t>개발기획팀</t>
  </si>
  <si>
    <t>기술연구소</t>
  </si>
  <si>
    <t xml:space="preserve"> ① 연차 : ex. 3~5년차 
 ② 학력 : ex. 초대졸 이상
 ③ 인원 : 1명
 ④ 전공 : ex. 건축학과 또는 건축공학과
 ⑤ 보유기술 또는 자격 : 플랜트 SW 유경험자 및 플랜트 분야 근무 경력자</t>
    <phoneticPr fontId="3" type="noConversion"/>
  </si>
  <si>
    <t>구분</t>
    <phoneticPr fontId="3" type="noConversion"/>
  </si>
  <si>
    <t>진행업무</t>
    <phoneticPr fontId="3" type="noConversion"/>
  </si>
  <si>
    <t>FAB4팀</t>
  </si>
  <si>
    <t>1명</t>
    <phoneticPr fontId="3" type="noConversion"/>
  </si>
  <si>
    <t>직 급</t>
    <phoneticPr fontId="3" type="noConversion"/>
  </si>
  <si>
    <t>홍 길 동</t>
    <phoneticPr fontId="3" type="noConversion"/>
  </si>
  <si>
    <t>0000</t>
    <phoneticPr fontId="3" type="noConversion"/>
  </si>
  <si>
    <t>담 당 업 무</t>
    <phoneticPr fontId="3" type="noConversion"/>
  </si>
  <si>
    <t>내 용</t>
    <phoneticPr fontId="3" type="noConversion"/>
  </si>
  <si>
    <t>2025.03  ~  2029.02</t>
    <phoneticPr fontId="3" type="noConversion"/>
  </si>
  <si>
    <t>0년  00개월</t>
    <phoneticPr fontId="3" type="noConversion"/>
  </si>
  <si>
    <t>사원</t>
    <phoneticPr fontId="3" type="noConversion"/>
  </si>
  <si>
    <t>주임</t>
    <phoneticPr fontId="3" type="noConversion"/>
  </si>
  <si>
    <t>대리</t>
    <phoneticPr fontId="3" type="noConversion"/>
  </si>
  <si>
    <t>과장</t>
    <phoneticPr fontId="3" type="noConversion"/>
  </si>
  <si>
    <t>프로</t>
    <phoneticPr fontId="3" type="noConversion"/>
  </si>
  <si>
    <t>O</t>
    <phoneticPr fontId="3" type="noConversion"/>
  </si>
  <si>
    <t>X</t>
    <phoneticPr fontId="3" type="noConversion"/>
  </si>
  <si>
    <t>(인성, 전문성 및 적합도가능성, 업무상 활용계획에 대해 상세히 기술)</t>
    <phoneticPr fontId="3" type="noConversion"/>
  </si>
  <si>
    <t>회 사 명</t>
    <phoneticPr fontId="3" type="noConversion"/>
  </si>
  <si>
    <t>근 무 기 간</t>
    <phoneticPr fontId="3" type="noConversion"/>
  </si>
  <si>
    <t>재 학 기 간</t>
    <phoneticPr fontId="3" type="noConversion"/>
  </si>
  <si>
    <t>전 공</t>
    <phoneticPr fontId="3" type="noConversion"/>
  </si>
  <si>
    <t>근 속 연 수</t>
    <phoneticPr fontId="3" type="noConversion"/>
  </si>
  <si>
    <t>채 용 사 유</t>
    <phoneticPr fontId="3" type="noConversion"/>
  </si>
  <si>
    <t>첨 부 파 일</t>
    <phoneticPr fontId="3" type="noConversion"/>
  </si>
  <si>
    <t>※ 거리산정기준 : 네이버 지도검색 → 자동차 → 최단거리 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</si>
</sst>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명&quot;"/>
    <numFmt numFmtId="177" formatCode="0&quot;월&quot;"/>
  </numFmts>
  <fonts count="1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Malgun Gothic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26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5">
    <xf numFmtId="0" fontId="0" fillId="0" borderId="0" xfId="0">
      <alignment vertical="center"/>
    </xf>
    <xf numFmtId="0" fontId="5" fillId="3" borderId="6" xfId="0" applyFont="1" applyFill="1" applyBorder="1" applyAlignment="1">
      <alignment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0" xfId="0" applyFont="1" applyFill="1">
      <alignment vertical="center"/>
    </xf>
    <xf numFmtId="0" fontId="9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7" fillId="3" borderId="0" xfId="0" applyFont="1" applyFill="1">
      <alignment vertical="center"/>
    </xf>
    <xf numFmtId="0" fontId="7" fillId="0" borderId="0" xfId="0" applyFont="1">
      <alignment vertical="center"/>
    </xf>
    <xf numFmtId="177" fontId="14" fillId="8" borderId="27" xfId="0" applyNumberFormat="1" applyFont="1" applyFill="1" applyBorder="1" applyAlignment="1">
      <alignment horizontal="center" vertical="center" wrapText="1"/>
    </xf>
    <xf numFmtId="177" fontId="14" fillId="8" borderId="28" xfId="0" applyNumberFormat="1" applyFont="1" applyFill="1" applyBorder="1" applyAlignment="1">
      <alignment horizontal="center" vertical="center" wrapText="1"/>
    </xf>
    <xf numFmtId="177" fontId="14" fillId="8" borderId="5" xfId="0" applyNumberFormat="1" applyFont="1" applyFill="1" applyBorder="1" applyAlignment="1">
      <alignment horizontal="center" vertical="center" wrapText="1"/>
    </xf>
    <xf numFmtId="177" fontId="14" fillId="8" borderId="3" xfId="0" applyNumberFormat="1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wrapText="1"/>
    </xf>
    <xf numFmtId="0" fontId="14" fillId="8" borderId="25" xfId="0" applyFont="1" applyFill="1" applyBorder="1" applyAlignment="1">
      <alignment horizontal="center" wrapText="1"/>
    </xf>
    <xf numFmtId="0" fontId="14" fillId="8" borderId="30" xfId="0" applyFont="1" applyFill="1" applyBorder="1" applyAlignment="1">
      <alignment horizontal="center" wrapText="1"/>
    </xf>
    <xf numFmtId="0" fontId="9" fillId="2" borderId="6" xfId="0" applyFont="1" applyFill="1" applyBorder="1">
      <alignment vertical="center"/>
    </xf>
    <xf numFmtId="0" fontId="9" fillId="2" borderId="8" xfId="0" applyFont="1" applyFill="1" applyBorder="1">
      <alignment vertical="center"/>
    </xf>
    <xf numFmtId="0" fontId="9" fillId="2" borderId="0" xfId="0" applyFont="1" applyFill="1">
      <alignment vertical="center"/>
    </xf>
    <xf numFmtId="0" fontId="9" fillId="2" borderId="10" xfId="0" applyFont="1" applyFill="1" applyBorder="1">
      <alignment vertical="center"/>
    </xf>
    <xf numFmtId="0" fontId="12" fillId="3" borderId="7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12" fillId="3" borderId="11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vertical="top" wrapText="1"/>
    </xf>
    <xf numFmtId="0" fontId="9" fillId="3" borderId="12" xfId="0" applyFont="1" applyFill="1" applyBorder="1" applyAlignment="1">
      <alignment vertical="top" wrapText="1"/>
    </xf>
    <xf numFmtId="0" fontId="6" fillId="2" borderId="15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4" fillId="8" borderId="67" xfId="0" applyFont="1" applyFill="1" applyBorder="1" applyAlignment="1">
      <alignment horizontal="center" wrapText="1"/>
    </xf>
    <xf numFmtId="0" fontId="14" fillId="8" borderId="69" xfId="0" applyFont="1" applyFill="1" applyBorder="1" applyAlignment="1">
      <alignment horizontal="center" wrapText="1"/>
    </xf>
    <xf numFmtId="0" fontId="14" fillId="8" borderId="70" xfId="0" applyFont="1" applyFill="1" applyBorder="1" applyAlignment="1">
      <alignment horizontal="center" wrapText="1"/>
    </xf>
    <xf numFmtId="0" fontId="7" fillId="4" borderId="50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7" fillId="3" borderId="71" xfId="0" applyFont="1" applyFill="1" applyBorder="1" applyAlignment="1">
      <alignment horizontal="center" vertical="center" wrapText="1"/>
    </xf>
    <xf numFmtId="0" fontId="7" fillId="3" borderId="7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center" vertical="center" wrapText="1"/>
    </xf>
    <xf numFmtId="0" fontId="6" fillId="2" borderId="77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9" fillId="3" borderId="9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12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1" fillId="3" borderId="1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9" xfId="0" applyFont="1" applyFill="1" applyBorder="1">
      <alignment vertical="center"/>
    </xf>
    <xf numFmtId="0" fontId="1" fillId="3" borderId="9" xfId="0" applyFont="1" applyFill="1" applyBorder="1" applyAlignment="1">
      <alignment horizontal="left" vertical="center" indent="1"/>
    </xf>
    <xf numFmtId="0" fontId="13" fillId="3" borderId="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right" vertical="center"/>
    </xf>
    <xf numFmtId="0" fontId="7" fillId="2" borderId="24" xfId="0" applyFont="1" applyFill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68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wrapText="1"/>
    </xf>
    <xf numFmtId="0" fontId="14" fillId="2" borderId="53" xfId="0" applyFont="1" applyFill="1" applyBorder="1" applyAlignment="1">
      <alignment horizontal="center" wrapText="1"/>
    </xf>
    <xf numFmtId="0" fontId="14" fillId="7" borderId="26" xfId="0" applyFont="1" applyFill="1" applyBorder="1" applyAlignment="1">
      <alignment horizontal="center" vertical="center" wrapText="1"/>
    </xf>
    <xf numFmtId="0" fontId="14" fillId="7" borderId="66" xfId="0" applyFont="1" applyFill="1" applyBorder="1" applyAlignment="1">
      <alignment horizontal="center" vertical="center" wrapText="1"/>
    </xf>
    <xf numFmtId="0" fontId="14" fillId="7" borderId="67" xfId="0" applyFont="1" applyFill="1" applyBorder="1" applyAlignment="1">
      <alignment horizontal="center" vertical="center" wrapText="1"/>
    </xf>
    <xf numFmtId="0" fontId="14" fillId="7" borderId="53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wrapText="1"/>
    </xf>
    <xf numFmtId="0" fontId="14" fillId="8" borderId="53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4" fillId="5" borderId="18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7" borderId="13" xfId="0" quotePrefix="1" applyFont="1" applyFill="1" applyBorder="1" applyAlignment="1">
      <alignment horizontal="center" vertical="center" wrapText="1"/>
    </xf>
    <xf numFmtId="0" fontId="14" fillId="7" borderId="17" xfId="0" quotePrefix="1" applyFont="1" applyFill="1" applyBorder="1" applyAlignment="1">
      <alignment horizontal="center" vertical="center" wrapText="1"/>
    </xf>
    <xf numFmtId="0" fontId="14" fillId="7" borderId="14" xfId="0" quotePrefix="1" applyFont="1" applyFill="1" applyBorder="1" applyAlignment="1">
      <alignment horizontal="center" vertical="center" wrapText="1"/>
    </xf>
    <xf numFmtId="0" fontId="14" fillId="8" borderId="13" xfId="0" quotePrefix="1" applyFont="1" applyFill="1" applyBorder="1" applyAlignment="1">
      <alignment horizontal="center" vertical="center" wrapText="1"/>
    </xf>
    <xf numFmtId="0" fontId="14" fillId="8" borderId="17" xfId="0" quotePrefix="1" applyFont="1" applyFill="1" applyBorder="1" applyAlignment="1">
      <alignment horizontal="center" vertical="center" wrapText="1"/>
    </xf>
    <xf numFmtId="0" fontId="14" fillId="8" borderId="14" xfId="0" quotePrefix="1" applyFont="1" applyFill="1" applyBorder="1" applyAlignment="1">
      <alignment horizontal="center" vertical="center" wrapText="1"/>
    </xf>
    <xf numFmtId="0" fontId="14" fillId="7" borderId="32" xfId="0" quotePrefix="1" applyFont="1" applyFill="1" applyBorder="1" applyAlignment="1">
      <alignment horizontal="center" vertical="center" wrapText="1"/>
    </xf>
    <xf numFmtId="0" fontId="14" fillId="7" borderId="56" xfId="0" quotePrefix="1" applyFont="1" applyFill="1" applyBorder="1" applyAlignment="1">
      <alignment horizontal="center" vertical="center" wrapText="1"/>
    </xf>
    <xf numFmtId="0" fontId="14" fillId="7" borderId="34" xfId="0" quotePrefix="1" applyFont="1" applyFill="1" applyBorder="1" applyAlignment="1">
      <alignment horizontal="center" vertical="center" wrapText="1"/>
    </xf>
    <xf numFmtId="0" fontId="14" fillId="7" borderId="57" xfId="0" quotePrefix="1" applyFont="1" applyFill="1" applyBorder="1" applyAlignment="1">
      <alignment horizontal="center" vertical="center" wrapText="1"/>
    </xf>
    <xf numFmtId="0" fontId="14" fillId="7" borderId="54" xfId="0" quotePrefix="1" applyFont="1" applyFill="1" applyBorder="1" applyAlignment="1">
      <alignment horizontal="center" vertical="center" wrapText="1"/>
    </xf>
    <xf numFmtId="0" fontId="14" fillId="7" borderId="48" xfId="0" quotePrefix="1" applyFont="1" applyFill="1" applyBorder="1" applyAlignment="1">
      <alignment horizontal="center" vertical="center" wrapText="1"/>
    </xf>
    <xf numFmtId="0" fontId="14" fillId="7" borderId="55" xfId="0" quotePrefix="1" applyFont="1" applyFill="1" applyBorder="1" applyAlignment="1">
      <alignment horizontal="center" vertical="center" wrapText="1"/>
    </xf>
    <xf numFmtId="0" fontId="14" fillId="7" borderId="52" xfId="0" quotePrefix="1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48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8" borderId="5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7" fillId="4" borderId="59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4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7" fillId="3" borderId="7" xfId="0" quotePrefix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FF66"/>
      <color rgb="FF00FF99"/>
      <color rgb="FF00FF00"/>
      <color rgb="FF0000FF"/>
      <color rgb="FF00A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6561" name="Check Box 1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00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6562" name="Check Box 2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00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6563" name="Check Box 3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00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6564" name="Check Box 4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00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6565" name="Check Box 5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00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6566" name="Check Box 6" hidden="1">
              <a:extLst>
                <a:ext uri="{63B3BB69-23CF-44E3-9099-C40C66FF867C}">
                  <a14:compatExt spid="_x0000_s66566"/>
                </a:ext>
                <a:ext uri="{FF2B5EF4-FFF2-40B4-BE49-F238E27FC236}">
                  <a16:creationId xmlns:a16="http://schemas.microsoft.com/office/drawing/2014/main" id="{00000000-0008-0000-0000-00000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6567" name="Check Box 7" hidden="1">
              <a:extLst>
                <a:ext uri="{63B3BB69-23CF-44E3-9099-C40C66FF867C}">
                  <a14:compatExt spid="_x0000_s66567"/>
                </a:ext>
                <a:ext uri="{FF2B5EF4-FFF2-40B4-BE49-F238E27FC236}">
                  <a16:creationId xmlns:a16="http://schemas.microsoft.com/office/drawing/2014/main" id="{00000000-0008-0000-0000-00000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6568" name="Check Box 8" hidden="1">
              <a:extLst>
                <a:ext uri="{63B3BB69-23CF-44E3-9099-C40C66FF867C}">
                  <a14:compatExt spid="_x0000_s66568"/>
                </a:ext>
                <a:ext uri="{FF2B5EF4-FFF2-40B4-BE49-F238E27FC236}">
                  <a16:creationId xmlns:a16="http://schemas.microsoft.com/office/drawing/2014/main" id="{00000000-0008-0000-0000-00000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7585" name="Check Box 1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01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7586" name="Check Box 2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01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7587" name="Check Box 3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01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7588" name="Check Box 4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01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7589" name="Check Box 5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01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7590" name="Check Box 6" hidden="1">
              <a:extLst>
                <a:ext uri="{63B3BB69-23CF-44E3-9099-C40C66FF867C}">
                  <a14:compatExt spid="_x0000_s67590"/>
                </a:ext>
                <a:ext uri="{FF2B5EF4-FFF2-40B4-BE49-F238E27FC236}">
                  <a16:creationId xmlns:a16="http://schemas.microsoft.com/office/drawing/2014/main" id="{00000000-0008-0000-0100-000006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7591" name="Check Box 7" hidden="1">
              <a:extLst>
                <a:ext uri="{63B3BB69-23CF-44E3-9099-C40C66FF867C}">
                  <a14:compatExt spid="_x0000_s67591"/>
                </a:ext>
                <a:ext uri="{FF2B5EF4-FFF2-40B4-BE49-F238E27FC236}">
                  <a16:creationId xmlns:a16="http://schemas.microsoft.com/office/drawing/2014/main" id="{00000000-0008-0000-0100-000007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7592" name="Check Box 8" hidden="1">
              <a:extLst>
                <a:ext uri="{63B3BB69-23CF-44E3-9099-C40C66FF867C}">
                  <a14:compatExt spid="_x0000_s67592"/>
                </a:ext>
                <a:ext uri="{FF2B5EF4-FFF2-40B4-BE49-F238E27FC236}">
                  <a16:creationId xmlns:a16="http://schemas.microsoft.com/office/drawing/2014/main" id="{00000000-0008-0000-0100-000008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8609" name="Check Box 1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2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8610" name="Check Box 2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2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8611" name="Check Box 3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2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8612" name="Check Box 4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2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8613" name="Check Box 5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02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8614" name="Check Box 6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02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8615" name="Check Box 7" hidden="1">
              <a:extLst>
                <a:ext uri="{63B3BB69-23CF-44E3-9099-C40C66FF867C}">
                  <a14:compatExt spid="_x0000_s68615"/>
                </a:ext>
                <a:ext uri="{FF2B5EF4-FFF2-40B4-BE49-F238E27FC236}">
                  <a16:creationId xmlns:a16="http://schemas.microsoft.com/office/drawing/2014/main" id="{00000000-0008-0000-0200-000007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8616" name="Check Box 8" hidden="1">
              <a:extLst>
                <a:ext uri="{63B3BB69-23CF-44E3-9099-C40C66FF867C}">
                  <a14:compatExt spid="_x0000_s68616"/>
                </a:ext>
                <a:ext uri="{FF2B5EF4-FFF2-40B4-BE49-F238E27FC236}">
                  <a16:creationId xmlns:a16="http://schemas.microsoft.com/office/drawing/2014/main" id="{00000000-0008-0000-0200-000008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9633" name="Check Box 1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03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9634" name="Check Box 2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03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9635" name="Check Box 3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03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9636" name="Check Box 4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03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69637" name="Check Box 5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03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69638" name="Check Box 6" hidden="1">
              <a:extLst>
                <a:ext uri="{63B3BB69-23CF-44E3-9099-C40C66FF867C}">
                  <a14:compatExt spid="_x0000_s69638"/>
                </a:ext>
                <a:ext uri="{FF2B5EF4-FFF2-40B4-BE49-F238E27FC236}">
                  <a16:creationId xmlns:a16="http://schemas.microsoft.com/office/drawing/2014/main" id="{00000000-0008-0000-0300-000006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69639" name="Check Box 7" hidden="1">
              <a:extLst>
                <a:ext uri="{63B3BB69-23CF-44E3-9099-C40C66FF867C}">
                  <a14:compatExt spid="_x0000_s69639"/>
                </a:ext>
                <a:ext uri="{FF2B5EF4-FFF2-40B4-BE49-F238E27FC236}">
                  <a16:creationId xmlns:a16="http://schemas.microsoft.com/office/drawing/2014/main" id="{00000000-0008-0000-0300-000007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69640" name="Check Box 8" hidden="1">
              <a:extLst>
                <a:ext uri="{63B3BB69-23CF-44E3-9099-C40C66FF867C}">
                  <a14:compatExt spid="_x0000_s69640"/>
                </a:ext>
                <a:ext uri="{FF2B5EF4-FFF2-40B4-BE49-F238E27FC236}">
                  <a16:creationId xmlns:a16="http://schemas.microsoft.com/office/drawing/2014/main" id="{00000000-0008-0000-0300-000008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0657" name="Check Box 1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04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0658" name="Check Box 2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04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0659" name="Check Box 3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04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0660" name="Check Box 4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04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0661" name="Check Box 5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04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0662" name="Check Box 6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04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0663" name="Check Box 7" hidden="1">
              <a:extLst>
                <a:ext uri="{63B3BB69-23CF-44E3-9099-C40C66FF867C}">
                  <a14:compatExt spid="_x0000_s70663"/>
                </a:ext>
                <a:ext uri="{FF2B5EF4-FFF2-40B4-BE49-F238E27FC236}">
                  <a16:creationId xmlns:a16="http://schemas.microsoft.com/office/drawing/2014/main" id="{00000000-0008-0000-0400-000007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0664" name="Check Box 8" hidden="1">
              <a:extLst>
                <a:ext uri="{63B3BB69-23CF-44E3-9099-C40C66FF867C}">
                  <a14:compatExt spid="_x0000_s70664"/>
                </a:ext>
                <a:ext uri="{FF2B5EF4-FFF2-40B4-BE49-F238E27FC236}">
                  <a16:creationId xmlns:a16="http://schemas.microsoft.com/office/drawing/2014/main" id="{00000000-0008-0000-0400-000008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1681" name="Check Box 1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05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1682" name="Check Box 2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05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1683" name="Check Box 3" hidden="1">
              <a:extLst>
                <a:ext uri="{63B3BB69-23CF-44E3-9099-C40C66FF867C}">
                  <a14:compatExt spid="_x0000_s71683"/>
                </a:ext>
                <a:ext uri="{FF2B5EF4-FFF2-40B4-BE49-F238E27FC236}">
                  <a16:creationId xmlns:a16="http://schemas.microsoft.com/office/drawing/2014/main" id="{00000000-0008-0000-0500-000003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1684" name="Check Box 4" hidden="1">
              <a:extLst>
                <a:ext uri="{63B3BB69-23CF-44E3-9099-C40C66FF867C}">
                  <a14:compatExt spid="_x0000_s71684"/>
                </a:ext>
                <a:ext uri="{FF2B5EF4-FFF2-40B4-BE49-F238E27FC236}">
                  <a16:creationId xmlns:a16="http://schemas.microsoft.com/office/drawing/2014/main" id="{00000000-0008-0000-0500-000004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1685" name="Check Box 5" hidden="1">
              <a:extLst>
                <a:ext uri="{63B3BB69-23CF-44E3-9099-C40C66FF867C}">
                  <a14:compatExt spid="_x0000_s71685"/>
                </a:ext>
                <a:ext uri="{FF2B5EF4-FFF2-40B4-BE49-F238E27FC236}">
                  <a16:creationId xmlns:a16="http://schemas.microsoft.com/office/drawing/2014/main" id="{00000000-0008-0000-0500-000005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1686" name="Check Box 6" hidden="1">
              <a:extLst>
                <a:ext uri="{63B3BB69-23CF-44E3-9099-C40C66FF867C}">
                  <a14:compatExt spid="_x0000_s71686"/>
                </a:ext>
                <a:ext uri="{FF2B5EF4-FFF2-40B4-BE49-F238E27FC236}">
                  <a16:creationId xmlns:a16="http://schemas.microsoft.com/office/drawing/2014/main" id="{00000000-0008-0000-0500-000006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1687" name="Check Box 7" hidden="1">
              <a:extLst>
                <a:ext uri="{63B3BB69-23CF-44E3-9099-C40C66FF867C}">
                  <a14:compatExt spid="_x0000_s71687"/>
                </a:ext>
                <a:ext uri="{FF2B5EF4-FFF2-40B4-BE49-F238E27FC236}">
                  <a16:creationId xmlns:a16="http://schemas.microsoft.com/office/drawing/2014/main" id="{00000000-0008-0000-0500-000007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1688" name="Check Box 8" hidden="1">
              <a:extLst>
                <a:ext uri="{63B3BB69-23CF-44E3-9099-C40C66FF867C}">
                  <a14:compatExt spid="_x0000_s71688"/>
                </a:ext>
                <a:ext uri="{FF2B5EF4-FFF2-40B4-BE49-F238E27FC236}">
                  <a16:creationId xmlns:a16="http://schemas.microsoft.com/office/drawing/2014/main" id="{00000000-0008-0000-0500-000008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2705" name="Check Box 1" hidden="1">
              <a:extLst>
                <a:ext uri="{63B3BB69-23CF-44E3-9099-C40C66FF867C}">
                  <a14:compatExt spid="_x0000_s72705"/>
                </a:ext>
                <a:ext uri="{FF2B5EF4-FFF2-40B4-BE49-F238E27FC236}">
                  <a16:creationId xmlns:a16="http://schemas.microsoft.com/office/drawing/2014/main" id="{00000000-0008-0000-0600-00000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2706" name="Check Box 2" hidden="1">
              <a:extLst>
                <a:ext uri="{63B3BB69-23CF-44E3-9099-C40C66FF867C}">
                  <a14:compatExt spid="_x0000_s72706"/>
                </a:ext>
                <a:ext uri="{FF2B5EF4-FFF2-40B4-BE49-F238E27FC236}">
                  <a16:creationId xmlns:a16="http://schemas.microsoft.com/office/drawing/2014/main" id="{00000000-0008-0000-0600-000002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2707" name="Check Box 3" hidden="1">
              <a:extLst>
                <a:ext uri="{63B3BB69-23CF-44E3-9099-C40C66FF867C}">
                  <a14:compatExt spid="_x0000_s72707"/>
                </a:ext>
                <a:ext uri="{FF2B5EF4-FFF2-40B4-BE49-F238E27FC236}">
                  <a16:creationId xmlns:a16="http://schemas.microsoft.com/office/drawing/2014/main" id="{00000000-0008-0000-0600-000003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2708" name="Check Box 4" hidden="1">
              <a:extLst>
                <a:ext uri="{63B3BB69-23CF-44E3-9099-C40C66FF867C}">
                  <a14:compatExt spid="_x0000_s72708"/>
                </a:ext>
                <a:ext uri="{FF2B5EF4-FFF2-40B4-BE49-F238E27FC236}">
                  <a16:creationId xmlns:a16="http://schemas.microsoft.com/office/drawing/2014/main" id="{00000000-0008-0000-0600-000004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2709" name="Check Box 5" hidden="1">
              <a:extLst>
                <a:ext uri="{63B3BB69-23CF-44E3-9099-C40C66FF867C}">
                  <a14:compatExt spid="_x0000_s72709"/>
                </a:ext>
                <a:ext uri="{FF2B5EF4-FFF2-40B4-BE49-F238E27FC236}">
                  <a16:creationId xmlns:a16="http://schemas.microsoft.com/office/drawing/2014/main" id="{00000000-0008-0000-0600-000005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2710" name="Check Box 6" hidden="1">
              <a:extLst>
                <a:ext uri="{63B3BB69-23CF-44E3-9099-C40C66FF867C}">
                  <a14:compatExt spid="_x0000_s72710"/>
                </a:ext>
                <a:ext uri="{FF2B5EF4-FFF2-40B4-BE49-F238E27FC236}">
                  <a16:creationId xmlns:a16="http://schemas.microsoft.com/office/drawing/2014/main" id="{00000000-0008-0000-0600-000006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2711" name="Check Box 7" hidden="1">
              <a:extLst>
                <a:ext uri="{63B3BB69-23CF-44E3-9099-C40C66FF867C}">
                  <a14:compatExt spid="_x0000_s72711"/>
                </a:ext>
                <a:ext uri="{FF2B5EF4-FFF2-40B4-BE49-F238E27FC236}">
                  <a16:creationId xmlns:a16="http://schemas.microsoft.com/office/drawing/2014/main" id="{00000000-0008-0000-0600-000007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2712" name="Check Box 8" hidden="1">
              <a:extLst>
                <a:ext uri="{63B3BB69-23CF-44E3-9099-C40C66FF867C}">
                  <a14:compatExt spid="_x0000_s72712"/>
                </a:ext>
                <a:ext uri="{FF2B5EF4-FFF2-40B4-BE49-F238E27FC236}">
                  <a16:creationId xmlns:a16="http://schemas.microsoft.com/office/drawing/2014/main" id="{00000000-0008-0000-0600-000008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3729" name="Check Box 1" hidden="1">
              <a:extLst>
                <a:ext uri="{63B3BB69-23CF-44E3-9099-C40C66FF867C}">
                  <a14:compatExt spid="_x0000_s73729"/>
                </a:ext>
                <a:ext uri="{FF2B5EF4-FFF2-40B4-BE49-F238E27FC236}">
                  <a16:creationId xmlns:a16="http://schemas.microsoft.com/office/drawing/2014/main" id="{00000000-0008-0000-0700-000001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3730" name="Check Box 2" hidden="1">
              <a:extLst>
                <a:ext uri="{63B3BB69-23CF-44E3-9099-C40C66FF867C}">
                  <a14:compatExt spid="_x0000_s73730"/>
                </a:ext>
                <a:ext uri="{FF2B5EF4-FFF2-40B4-BE49-F238E27FC236}">
                  <a16:creationId xmlns:a16="http://schemas.microsoft.com/office/drawing/2014/main" id="{00000000-0008-0000-0700-000002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3731" name="Check Box 3" hidden="1">
              <a:extLst>
                <a:ext uri="{63B3BB69-23CF-44E3-9099-C40C66FF867C}">
                  <a14:compatExt spid="_x0000_s73731"/>
                </a:ext>
                <a:ext uri="{FF2B5EF4-FFF2-40B4-BE49-F238E27FC236}">
                  <a16:creationId xmlns:a16="http://schemas.microsoft.com/office/drawing/2014/main" id="{00000000-0008-0000-0700-000003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3732" name="Check Box 4" hidden="1">
              <a:extLst>
                <a:ext uri="{63B3BB69-23CF-44E3-9099-C40C66FF867C}">
                  <a14:compatExt spid="_x0000_s73732"/>
                </a:ext>
                <a:ext uri="{FF2B5EF4-FFF2-40B4-BE49-F238E27FC236}">
                  <a16:creationId xmlns:a16="http://schemas.microsoft.com/office/drawing/2014/main" id="{00000000-0008-0000-0700-000004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3733" name="Check Box 5" hidden="1">
              <a:extLst>
                <a:ext uri="{63B3BB69-23CF-44E3-9099-C40C66FF867C}">
                  <a14:compatExt spid="_x0000_s73733"/>
                </a:ext>
                <a:ext uri="{FF2B5EF4-FFF2-40B4-BE49-F238E27FC236}">
                  <a16:creationId xmlns:a16="http://schemas.microsoft.com/office/drawing/2014/main" id="{00000000-0008-0000-0700-000005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3734" name="Check Box 6" hidden="1">
              <a:extLst>
                <a:ext uri="{63B3BB69-23CF-44E3-9099-C40C66FF867C}">
                  <a14:compatExt spid="_x0000_s73734"/>
                </a:ext>
                <a:ext uri="{FF2B5EF4-FFF2-40B4-BE49-F238E27FC236}">
                  <a16:creationId xmlns:a16="http://schemas.microsoft.com/office/drawing/2014/main" id="{00000000-0008-0000-0700-000006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3735" name="Check Box 7" hidden="1">
              <a:extLst>
                <a:ext uri="{63B3BB69-23CF-44E3-9099-C40C66FF867C}">
                  <a14:compatExt spid="_x0000_s73735"/>
                </a:ext>
                <a:ext uri="{FF2B5EF4-FFF2-40B4-BE49-F238E27FC236}">
                  <a16:creationId xmlns:a16="http://schemas.microsoft.com/office/drawing/2014/main" id="{00000000-0008-0000-0700-000007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3736" name="Check Box 8" hidden="1">
              <a:extLst>
                <a:ext uri="{63B3BB69-23CF-44E3-9099-C40C66FF867C}">
                  <a14:compatExt spid="_x0000_s73736"/>
                </a:ext>
                <a:ext uri="{FF2B5EF4-FFF2-40B4-BE49-F238E27FC236}">
                  <a16:creationId xmlns:a16="http://schemas.microsoft.com/office/drawing/2014/main" id="{00000000-0008-0000-0700-000008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4753" name="Check Box 1" hidden="1">
              <a:extLst>
                <a:ext uri="{63B3BB69-23CF-44E3-9099-C40C66FF867C}">
                  <a14:compatExt spid="_x0000_s74753"/>
                </a:ext>
                <a:ext uri="{FF2B5EF4-FFF2-40B4-BE49-F238E27FC236}">
                  <a16:creationId xmlns:a16="http://schemas.microsoft.com/office/drawing/2014/main" id="{00000000-0008-0000-0800-000001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4754" name="Check Box 2" hidden="1">
              <a:extLst>
                <a:ext uri="{63B3BB69-23CF-44E3-9099-C40C66FF867C}">
                  <a14:compatExt spid="_x0000_s74754"/>
                </a:ext>
                <a:ext uri="{FF2B5EF4-FFF2-40B4-BE49-F238E27FC236}">
                  <a16:creationId xmlns:a16="http://schemas.microsoft.com/office/drawing/2014/main" id="{00000000-0008-0000-0800-000002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4755" name="Check Box 3" hidden="1">
              <a:extLst>
                <a:ext uri="{63B3BB69-23CF-44E3-9099-C40C66FF867C}">
                  <a14:compatExt spid="_x0000_s74755"/>
                </a:ext>
                <a:ext uri="{FF2B5EF4-FFF2-40B4-BE49-F238E27FC236}">
                  <a16:creationId xmlns:a16="http://schemas.microsoft.com/office/drawing/2014/main" id="{00000000-0008-0000-0800-000003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4756" name="Check Box 4" hidden="1">
              <a:extLst>
                <a:ext uri="{63B3BB69-23CF-44E3-9099-C40C66FF867C}">
                  <a14:compatExt spid="_x0000_s74756"/>
                </a:ext>
                <a:ext uri="{FF2B5EF4-FFF2-40B4-BE49-F238E27FC236}">
                  <a16:creationId xmlns:a16="http://schemas.microsoft.com/office/drawing/2014/main" id="{00000000-0008-0000-0800-000004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4757" name="Check Box 5" hidden="1">
              <a:extLst>
                <a:ext uri="{63B3BB69-23CF-44E3-9099-C40C66FF867C}">
                  <a14:compatExt spid="_x0000_s74757"/>
                </a:ext>
                <a:ext uri="{FF2B5EF4-FFF2-40B4-BE49-F238E27FC236}">
                  <a16:creationId xmlns:a16="http://schemas.microsoft.com/office/drawing/2014/main" id="{00000000-0008-0000-0800-000005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4758" name="Check Box 6" hidden="1">
              <a:extLst>
                <a:ext uri="{63B3BB69-23CF-44E3-9099-C40C66FF867C}">
                  <a14:compatExt spid="_x0000_s74758"/>
                </a:ext>
                <a:ext uri="{FF2B5EF4-FFF2-40B4-BE49-F238E27FC236}">
                  <a16:creationId xmlns:a16="http://schemas.microsoft.com/office/drawing/2014/main" id="{00000000-0008-0000-0800-000006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4759" name="Check Box 7" hidden="1">
              <a:extLst>
                <a:ext uri="{63B3BB69-23CF-44E3-9099-C40C66FF867C}">
                  <a14:compatExt spid="_x0000_s74759"/>
                </a:ext>
                <a:ext uri="{FF2B5EF4-FFF2-40B4-BE49-F238E27FC236}">
                  <a16:creationId xmlns:a16="http://schemas.microsoft.com/office/drawing/2014/main" id="{00000000-0008-0000-0800-000007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4760" name="Check Box 8" hidden="1">
              <a:extLst>
                <a:ext uri="{63B3BB69-23CF-44E3-9099-C40C66FF867C}">
                  <a14:compatExt spid="_x0000_s74760"/>
                </a:ext>
                <a:ext uri="{FF2B5EF4-FFF2-40B4-BE49-F238E27FC236}">
                  <a16:creationId xmlns:a16="http://schemas.microsoft.com/office/drawing/2014/main" id="{00000000-0008-0000-0800-000008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5777" name="Check Box 1" hidden="1">
              <a:extLst>
                <a:ext uri="{63B3BB69-23CF-44E3-9099-C40C66FF867C}">
                  <a14:compatExt spid="_x0000_s75777"/>
                </a:ext>
                <a:ext uri="{FF2B5EF4-FFF2-40B4-BE49-F238E27FC236}">
                  <a16:creationId xmlns:a16="http://schemas.microsoft.com/office/drawing/2014/main" id="{00000000-0008-0000-0900-000001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5778" name="Check Box 2" hidden="1">
              <a:extLst>
                <a:ext uri="{63B3BB69-23CF-44E3-9099-C40C66FF867C}">
                  <a14:compatExt spid="_x0000_s75778"/>
                </a:ext>
                <a:ext uri="{FF2B5EF4-FFF2-40B4-BE49-F238E27FC236}">
                  <a16:creationId xmlns:a16="http://schemas.microsoft.com/office/drawing/2014/main" id="{00000000-0008-0000-0900-000002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5779" name="Check Box 3" hidden="1">
              <a:extLst>
                <a:ext uri="{63B3BB69-23CF-44E3-9099-C40C66FF867C}">
                  <a14:compatExt spid="_x0000_s75779"/>
                </a:ext>
                <a:ext uri="{FF2B5EF4-FFF2-40B4-BE49-F238E27FC236}">
                  <a16:creationId xmlns:a16="http://schemas.microsoft.com/office/drawing/2014/main" id="{00000000-0008-0000-0900-000003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5780" name="Check Box 4" hidden="1">
              <a:extLst>
                <a:ext uri="{63B3BB69-23CF-44E3-9099-C40C66FF867C}">
                  <a14:compatExt spid="_x0000_s75780"/>
                </a:ext>
                <a:ext uri="{FF2B5EF4-FFF2-40B4-BE49-F238E27FC236}">
                  <a16:creationId xmlns:a16="http://schemas.microsoft.com/office/drawing/2014/main" id="{00000000-0008-0000-0900-000004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5781" name="Check Box 5" hidden="1">
              <a:extLst>
                <a:ext uri="{63B3BB69-23CF-44E3-9099-C40C66FF867C}">
                  <a14:compatExt spid="_x0000_s75781"/>
                </a:ext>
                <a:ext uri="{FF2B5EF4-FFF2-40B4-BE49-F238E27FC236}">
                  <a16:creationId xmlns:a16="http://schemas.microsoft.com/office/drawing/2014/main" id="{00000000-0008-0000-0900-000005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5782" name="Check Box 6" hidden="1">
              <a:extLst>
                <a:ext uri="{63B3BB69-23CF-44E3-9099-C40C66FF867C}">
                  <a14:compatExt spid="_x0000_s75782"/>
                </a:ext>
                <a:ext uri="{FF2B5EF4-FFF2-40B4-BE49-F238E27FC236}">
                  <a16:creationId xmlns:a16="http://schemas.microsoft.com/office/drawing/2014/main" id="{00000000-0008-0000-0900-000006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5783" name="Check Box 7" hidden="1">
              <a:extLst>
                <a:ext uri="{63B3BB69-23CF-44E3-9099-C40C66FF867C}">
                  <a14:compatExt spid="_x0000_s75783"/>
                </a:ext>
                <a:ext uri="{FF2B5EF4-FFF2-40B4-BE49-F238E27FC236}">
                  <a16:creationId xmlns:a16="http://schemas.microsoft.com/office/drawing/2014/main" id="{00000000-0008-0000-0900-000007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5784" name="Check Box 8" hidden="1">
              <a:extLst>
                <a:ext uri="{63B3BB69-23CF-44E3-9099-C40C66FF867C}">
                  <a14:compatExt spid="_x0000_s75784"/>
                </a:ext>
                <a:ext uri="{FF2B5EF4-FFF2-40B4-BE49-F238E27FC236}">
                  <a16:creationId xmlns:a16="http://schemas.microsoft.com/office/drawing/2014/main" id="{00000000-0008-0000-0900-0000082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6801" name="Check Box 1" hidden="1">
              <a:extLst>
                <a:ext uri="{63B3BB69-23CF-44E3-9099-C40C66FF867C}">
                  <a14:compatExt spid="_x0000_s76801"/>
                </a:ext>
                <a:ext uri="{FF2B5EF4-FFF2-40B4-BE49-F238E27FC236}">
                  <a16:creationId xmlns:a16="http://schemas.microsoft.com/office/drawing/2014/main" id="{00000000-0008-0000-0A00-000001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6802" name="Check Box 2" hidden="1">
              <a:extLst>
                <a:ext uri="{63B3BB69-23CF-44E3-9099-C40C66FF867C}">
                  <a14:compatExt spid="_x0000_s76802"/>
                </a:ext>
                <a:ext uri="{FF2B5EF4-FFF2-40B4-BE49-F238E27FC236}">
                  <a16:creationId xmlns:a16="http://schemas.microsoft.com/office/drawing/2014/main" id="{00000000-0008-0000-0A00-000002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6803" name="Check Box 3" hidden="1">
              <a:extLst>
                <a:ext uri="{63B3BB69-23CF-44E3-9099-C40C66FF867C}">
                  <a14:compatExt spid="_x0000_s76803"/>
                </a:ext>
                <a:ext uri="{FF2B5EF4-FFF2-40B4-BE49-F238E27FC236}">
                  <a16:creationId xmlns:a16="http://schemas.microsoft.com/office/drawing/2014/main" id="{00000000-0008-0000-0A00-000003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6804" name="Check Box 4" hidden="1">
              <a:extLst>
                <a:ext uri="{63B3BB69-23CF-44E3-9099-C40C66FF867C}">
                  <a14:compatExt spid="_x0000_s76804"/>
                </a:ext>
                <a:ext uri="{FF2B5EF4-FFF2-40B4-BE49-F238E27FC236}">
                  <a16:creationId xmlns:a16="http://schemas.microsoft.com/office/drawing/2014/main" id="{00000000-0008-0000-0A00-000004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6805" name="Check Box 5" hidden="1">
              <a:extLst>
                <a:ext uri="{63B3BB69-23CF-44E3-9099-C40C66FF867C}">
                  <a14:compatExt spid="_x0000_s76805"/>
                </a:ext>
                <a:ext uri="{FF2B5EF4-FFF2-40B4-BE49-F238E27FC236}">
                  <a16:creationId xmlns:a16="http://schemas.microsoft.com/office/drawing/2014/main" id="{00000000-0008-0000-0A00-000005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6806" name="Check Box 6" hidden="1">
              <a:extLst>
                <a:ext uri="{63B3BB69-23CF-44E3-9099-C40C66FF867C}">
                  <a14:compatExt spid="_x0000_s76806"/>
                </a:ext>
                <a:ext uri="{FF2B5EF4-FFF2-40B4-BE49-F238E27FC236}">
                  <a16:creationId xmlns:a16="http://schemas.microsoft.com/office/drawing/2014/main" id="{00000000-0008-0000-0A00-000006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6807" name="Check Box 7" hidden="1">
              <a:extLst>
                <a:ext uri="{63B3BB69-23CF-44E3-9099-C40C66FF867C}">
                  <a14:compatExt spid="_x0000_s76807"/>
                </a:ext>
                <a:ext uri="{FF2B5EF4-FFF2-40B4-BE49-F238E27FC236}">
                  <a16:creationId xmlns:a16="http://schemas.microsoft.com/office/drawing/2014/main" id="{00000000-0008-0000-0A00-000007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6808" name="Check Box 8" hidden="1">
              <a:extLst>
                <a:ext uri="{63B3BB69-23CF-44E3-9099-C40C66FF867C}">
                  <a14:compatExt spid="_x0000_s76808"/>
                </a:ext>
                <a:ext uri="{FF2B5EF4-FFF2-40B4-BE49-F238E27FC236}">
                  <a16:creationId xmlns:a16="http://schemas.microsoft.com/office/drawing/2014/main" id="{00000000-0008-0000-0A00-000008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7825" name="Check Box 1" hidden="1">
              <a:extLst>
                <a:ext uri="{63B3BB69-23CF-44E3-9099-C40C66FF867C}">
                  <a14:compatExt spid="_x0000_s77825"/>
                </a:ext>
                <a:ext uri="{FF2B5EF4-FFF2-40B4-BE49-F238E27FC236}">
                  <a16:creationId xmlns:a16="http://schemas.microsoft.com/office/drawing/2014/main" id="{00000000-0008-0000-0B00-000001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7826" name="Check Box 2" hidden="1">
              <a:extLst>
                <a:ext uri="{63B3BB69-23CF-44E3-9099-C40C66FF867C}">
                  <a14:compatExt spid="_x0000_s77826"/>
                </a:ext>
                <a:ext uri="{FF2B5EF4-FFF2-40B4-BE49-F238E27FC236}">
                  <a16:creationId xmlns:a16="http://schemas.microsoft.com/office/drawing/2014/main" id="{00000000-0008-0000-0B00-000002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7827" name="Check Box 3" hidden="1">
              <a:extLst>
                <a:ext uri="{63B3BB69-23CF-44E3-9099-C40C66FF867C}">
                  <a14:compatExt spid="_x0000_s77827"/>
                </a:ext>
                <a:ext uri="{FF2B5EF4-FFF2-40B4-BE49-F238E27FC236}">
                  <a16:creationId xmlns:a16="http://schemas.microsoft.com/office/drawing/2014/main" id="{00000000-0008-0000-0B00-000003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7828" name="Check Box 4" hidden="1">
              <a:extLst>
                <a:ext uri="{63B3BB69-23CF-44E3-9099-C40C66FF867C}">
                  <a14:compatExt spid="_x0000_s77828"/>
                </a:ext>
                <a:ext uri="{FF2B5EF4-FFF2-40B4-BE49-F238E27FC236}">
                  <a16:creationId xmlns:a16="http://schemas.microsoft.com/office/drawing/2014/main" id="{00000000-0008-0000-0B00-000004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7829" name="Check Box 5" hidden="1">
              <a:extLst>
                <a:ext uri="{63B3BB69-23CF-44E3-9099-C40C66FF867C}">
                  <a14:compatExt spid="_x0000_s77829"/>
                </a:ext>
                <a:ext uri="{FF2B5EF4-FFF2-40B4-BE49-F238E27FC236}">
                  <a16:creationId xmlns:a16="http://schemas.microsoft.com/office/drawing/2014/main" id="{00000000-0008-0000-0B00-000005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7830" name="Check Box 6" hidden="1">
              <a:extLst>
                <a:ext uri="{63B3BB69-23CF-44E3-9099-C40C66FF867C}">
                  <a14:compatExt spid="_x0000_s77830"/>
                </a:ext>
                <a:ext uri="{FF2B5EF4-FFF2-40B4-BE49-F238E27FC236}">
                  <a16:creationId xmlns:a16="http://schemas.microsoft.com/office/drawing/2014/main" id="{00000000-0008-0000-0B00-000006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7831" name="Check Box 7" hidden="1">
              <a:extLst>
                <a:ext uri="{63B3BB69-23CF-44E3-9099-C40C66FF867C}">
                  <a14:compatExt spid="_x0000_s77831"/>
                </a:ext>
                <a:ext uri="{FF2B5EF4-FFF2-40B4-BE49-F238E27FC236}">
                  <a16:creationId xmlns:a16="http://schemas.microsoft.com/office/drawing/2014/main" id="{00000000-0008-0000-0B00-000007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7832" name="Check Box 8" hidden="1">
              <a:extLst>
                <a:ext uri="{63B3BB69-23CF-44E3-9099-C40C66FF867C}">
                  <a14:compatExt spid="_x0000_s77832"/>
                </a:ext>
                <a:ext uri="{FF2B5EF4-FFF2-40B4-BE49-F238E27FC236}">
                  <a16:creationId xmlns:a16="http://schemas.microsoft.com/office/drawing/2014/main" id="{00000000-0008-0000-0B00-000008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8849" name="Check Box 1" hidden="1">
              <a:extLst>
                <a:ext uri="{63B3BB69-23CF-44E3-9099-C40C66FF867C}">
                  <a14:compatExt spid="_x0000_s78849"/>
                </a:ext>
                <a:ext uri="{FF2B5EF4-FFF2-40B4-BE49-F238E27FC236}">
                  <a16:creationId xmlns:a16="http://schemas.microsoft.com/office/drawing/2014/main" id="{00000000-0008-0000-0C00-000001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8850" name="Check Box 2" hidden="1">
              <a:extLst>
                <a:ext uri="{63B3BB69-23CF-44E3-9099-C40C66FF867C}">
                  <a14:compatExt spid="_x0000_s78850"/>
                </a:ext>
                <a:ext uri="{FF2B5EF4-FFF2-40B4-BE49-F238E27FC236}">
                  <a16:creationId xmlns:a16="http://schemas.microsoft.com/office/drawing/2014/main" id="{00000000-0008-0000-0C00-000002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8851" name="Check Box 3" hidden="1">
              <a:extLst>
                <a:ext uri="{63B3BB69-23CF-44E3-9099-C40C66FF867C}">
                  <a14:compatExt spid="_x0000_s78851"/>
                </a:ext>
                <a:ext uri="{FF2B5EF4-FFF2-40B4-BE49-F238E27FC236}">
                  <a16:creationId xmlns:a16="http://schemas.microsoft.com/office/drawing/2014/main" id="{00000000-0008-0000-0C00-000003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8852" name="Check Box 4" hidden="1">
              <a:extLst>
                <a:ext uri="{63B3BB69-23CF-44E3-9099-C40C66FF867C}">
                  <a14:compatExt spid="_x0000_s78852"/>
                </a:ext>
                <a:ext uri="{FF2B5EF4-FFF2-40B4-BE49-F238E27FC236}">
                  <a16:creationId xmlns:a16="http://schemas.microsoft.com/office/drawing/2014/main" id="{00000000-0008-0000-0C00-000004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280147</xdr:colOff>
      <xdr:row>10</xdr:row>
      <xdr:rowOff>112058</xdr:rowOff>
    </xdr:from>
    <xdr:to>
      <xdr:col>31</xdr:col>
      <xdr:colOff>594473</xdr:colOff>
      <xdr:row>22</xdr:row>
      <xdr:rowOff>378757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0224247" y="2207558"/>
          <a:ext cx="5114926" cy="2952749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 사유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하기 사유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분기별 채용 계획이 수립된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사업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프로젝트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직무 확대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채용이 필요한 경우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 채용 이외의 기간에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신사업을 위한 인원충원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 필요한 경우</a:t>
          </a:r>
          <a:endParaRPr lang="en-US" altLang="ko-KR" sz="10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. </a:t>
          </a:r>
          <a:r>
            <a:rPr lang="ko-KR" alt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기존 인원 퇴사 및 휴직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으로 원활한 업무가 불가능하여 즉시 채용이 필요한 경우</a:t>
          </a:r>
          <a:endParaRPr lang="ko-KR" altLang="en-US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</xdr:col>
      <xdr:colOff>66674</xdr:colOff>
      <xdr:row>2</xdr:row>
      <xdr:rowOff>0</xdr:rowOff>
    </xdr:from>
    <xdr:to>
      <xdr:col>22</xdr:col>
      <xdr:colOff>0</xdr:colOff>
      <xdr:row>6</xdr:row>
      <xdr:rowOff>50987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419100"/>
          <a:ext cx="3362326" cy="88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280147</xdr:colOff>
      <xdr:row>7</xdr:row>
      <xdr:rowOff>78441</xdr:rowOff>
    </xdr:from>
    <xdr:to>
      <xdr:col>31</xdr:col>
      <xdr:colOff>594473</xdr:colOff>
      <xdr:row>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10224247" y="1545291"/>
          <a:ext cx="5114926" cy="497541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171450</xdr:rowOff>
        </xdr:from>
        <xdr:to>
          <xdr:col>2</xdr:col>
          <xdr:colOff>371475</xdr:colOff>
          <xdr:row>55</xdr:row>
          <xdr:rowOff>190500</xdr:rowOff>
        </xdr:to>
        <xdr:sp macro="" textlink="">
          <xdr:nvSpPr>
            <xdr:cNvPr id="78853" name="Check Box 5" hidden="1">
              <a:extLst>
                <a:ext uri="{63B3BB69-23CF-44E3-9099-C40C66FF867C}">
                  <a14:compatExt spid="_x0000_s78853"/>
                </a:ext>
                <a:ext uri="{FF2B5EF4-FFF2-40B4-BE49-F238E27FC236}">
                  <a16:creationId xmlns:a16="http://schemas.microsoft.com/office/drawing/2014/main" id="{00000000-0008-0000-0C00-000005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200025</xdr:rowOff>
        </xdr:from>
        <xdr:to>
          <xdr:col>2</xdr:col>
          <xdr:colOff>371475</xdr:colOff>
          <xdr:row>55</xdr:row>
          <xdr:rowOff>9525</xdr:rowOff>
        </xdr:to>
        <xdr:sp macro="" textlink="">
          <xdr:nvSpPr>
            <xdr:cNvPr id="78854" name="Check Box 6" hidden="1">
              <a:extLst>
                <a:ext uri="{63B3BB69-23CF-44E3-9099-C40C66FF867C}">
                  <a14:compatExt spid="_x0000_s78854"/>
                </a:ext>
                <a:ext uri="{FF2B5EF4-FFF2-40B4-BE49-F238E27FC236}">
                  <a16:creationId xmlns:a16="http://schemas.microsoft.com/office/drawing/2014/main" id="{00000000-0008-0000-0C00-000006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171450</xdr:rowOff>
        </xdr:from>
        <xdr:to>
          <xdr:col>5</xdr:col>
          <xdr:colOff>371475</xdr:colOff>
          <xdr:row>55</xdr:row>
          <xdr:rowOff>190500</xdr:rowOff>
        </xdr:to>
        <xdr:sp macro="" textlink="">
          <xdr:nvSpPr>
            <xdr:cNvPr id="78855" name="Check Box 7" hidden="1">
              <a:extLst>
                <a:ext uri="{63B3BB69-23CF-44E3-9099-C40C66FF867C}">
                  <a14:compatExt spid="_x0000_s78855"/>
                </a:ext>
                <a:ext uri="{FF2B5EF4-FFF2-40B4-BE49-F238E27FC236}">
                  <a16:creationId xmlns:a16="http://schemas.microsoft.com/office/drawing/2014/main" id="{00000000-0008-0000-0C00-000007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200025</xdr:rowOff>
        </xdr:from>
        <xdr:to>
          <xdr:col>5</xdr:col>
          <xdr:colOff>371475</xdr:colOff>
          <xdr:row>55</xdr:row>
          <xdr:rowOff>9525</xdr:rowOff>
        </xdr:to>
        <xdr:sp macro="" textlink="">
          <xdr:nvSpPr>
            <xdr:cNvPr id="78856" name="Check Box 8" hidden="1">
              <a:extLst>
                <a:ext uri="{63B3BB69-23CF-44E3-9099-C40C66FF867C}">
                  <a14:compatExt spid="_x0000_s78856"/>
                </a:ext>
                <a:ext uri="{FF2B5EF4-FFF2-40B4-BE49-F238E27FC236}">
                  <a16:creationId xmlns:a16="http://schemas.microsoft.com/office/drawing/2014/main" id="{00000000-0008-0000-0C00-000008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3</xdr:col>
      <xdr:colOff>302559</xdr:colOff>
      <xdr:row>3</xdr:row>
      <xdr:rowOff>179579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419100"/>
          <a:ext cx="1188384" cy="3891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6</xdr:col>
      <xdr:colOff>338418</xdr:colOff>
      <xdr:row>6</xdr:row>
      <xdr:rowOff>47625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441" y="425824"/>
          <a:ext cx="2736477" cy="899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279587</xdr:colOff>
      <xdr:row>2</xdr:row>
      <xdr:rowOff>0</xdr:rowOff>
    </xdr:from>
    <xdr:to>
      <xdr:col>22</xdr:col>
      <xdr:colOff>22412</xdr:colOff>
      <xdr:row>6</xdr:row>
      <xdr:rowOff>47625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5381" y="425824"/>
          <a:ext cx="2723590" cy="899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50</xdr:row>
          <xdr:rowOff>57150</xdr:rowOff>
        </xdr:from>
        <xdr:to>
          <xdr:col>9</xdr:col>
          <xdr:colOff>38100</xdr:colOff>
          <xdr:row>51</xdr:row>
          <xdr:rowOff>180975</xdr:rowOff>
        </xdr:to>
        <xdr:sp macro="" textlink="">
          <xdr:nvSpPr>
            <xdr:cNvPr id="80913" name="Check Box 17" hidden="1">
              <a:extLst>
                <a:ext uri="{63B3BB69-23CF-44E3-9099-C40C66FF867C}">
                  <a14:compatExt spid="_x0000_s80913"/>
                </a:ext>
                <a:ext uri="{FF2B5EF4-FFF2-40B4-BE49-F238E27FC236}">
                  <a16:creationId xmlns:a16="http://schemas.microsoft.com/office/drawing/2014/main" id="{00000000-0008-0000-0D00-000011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50</xdr:row>
          <xdr:rowOff>38100</xdr:rowOff>
        </xdr:from>
        <xdr:to>
          <xdr:col>11</xdr:col>
          <xdr:colOff>9525</xdr:colOff>
          <xdr:row>51</xdr:row>
          <xdr:rowOff>171450</xdr:rowOff>
        </xdr:to>
        <xdr:sp macro="" textlink="">
          <xdr:nvSpPr>
            <xdr:cNvPr id="80914" name="Check Box 18" hidden="1">
              <a:extLst>
                <a:ext uri="{63B3BB69-23CF-44E3-9099-C40C66FF867C}">
                  <a14:compatExt spid="_x0000_s80914"/>
                </a:ext>
                <a:ext uri="{FF2B5EF4-FFF2-40B4-BE49-F238E27FC236}">
                  <a16:creationId xmlns:a16="http://schemas.microsoft.com/office/drawing/2014/main" id="{00000000-0008-0000-0D00-000012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323850</xdr:colOff>
          <xdr:row>52</xdr:row>
          <xdr:rowOff>47625</xdr:rowOff>
        </xdr:from>
        <xdr:to>
          <xdr:col>13</xdr:col>
          <xdr:colOff>295275</xdr:colOff>
          <xdr:row>53</xdr:row>
          <xdr:rowOff>161925</xdr:rowOff>
        </xdr:to>
        <xdr:sp macro="" textlink="">
          <xdr:nvSpPr>
            <xdr:cNvPr id="80917" name="Check Box 21" hidden="1">
              <a:extLst>
                <a:ext uri="{63B3BB69-23CF-44E3-9099-C40C66FF867C}">
                  <a14:compatExt spid="_x0000_s80917"/>
                </a:ext>
                <a:ext uri="{FF2B5EF4-FFF2-40B4-BE49-F238E27FC236}">
                  <a16:creationId xmlns:a16="http://schemas.microsoft.com/office/drawing/2014/main" id="{00000000-0008-0000-0D00-000015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323850</xdr:colOff>
          <xdr:row>54</xdr:row>
          <xdr:rowOff>47625</xdr:rowOff>
        </xdr:from>
        <xdr:to>
          <xdr:col>13</xdr:col>
          <xdr:colOff>295275</xdr:colOff>
          <xdr:row>55</xdr:row>
          <xdr:rowOff>161925</xdr:rowOff>
        </xdr:to>
        <xdr:sp macro="" textlink="">
          <xdr:nvSpPr>
            <xdr:cNvPr id="80918" name="Check Box 22" hidden="1">
              <a:extLst>
                <a:ext uri="{63B3BB69-23CF-44E3-9099-C40C66FF867C}">
                  <a14:compatExt spid="_x0000_s80918"/>
                </a:ext>
                <a:ext uri="{FF2B5EF4-FFF2-40B4-BE49-F238E27FC236}">
                  <a16:creationId xmlns:a16="http://schemas.microsoft.com/office/drawing/2014/main" id="{00000000-0008-0000-0D00-000016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25</xdr:col>
      <xdr:colOff>1681</xdr:colOff>
      <xdr:row>9</xdr:row>
      <xdr:rowOff>189378</xdr:rowOff>
    </xdr:from>
    <xdr:to>
      <xdr:col>32</xdr:col>
      <xdr:colOff>313766</xdr:colOff>
      <xdr:row>23</xdr:row>
      <xdr:rowOff>245967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9B36B31-49C1-4BDC-898B-B555EDD1DAAA}"/>
            </a:ext>
          </a:extLst>
        </xdr:cNvPr>
        <xdr:cNvSpPr/>
      </xdr:nvSpPr>
      <xdr:spPr>
        <a:xfrm>
          <a:off x="10591240" y="2105584"/>
          <a:ext cx="5096997" cy="3362324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채용구분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긴급 中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작성부서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채용부서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본부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'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&gt; 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확정연봉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결재단계에서 안하련팀장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기재 예정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재학기간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근무기간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년도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).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0</xdr:colOff>
      <xdr:row>7</xdr:row>
      <xdr:rowOff>0</xdr:rowOff>
    </xdr:from>
    <xdr:to>
      <xdr:col>32</xdr:col>
      <xdr:colOff>314326</xdr:colOff>
      <xdr:row>9</xdr:row>
      <xdr:rowOff>78441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342CB12-540B-4EBD-9E31-8B65BB561599}"/>
            </a:ext>
          </a:extLst>
        </xdr:cNvPr>
        <xdr:cNvSpPr/>
      </xdr:nvSpPr>
      <xdr:spPr>
        <a:xfrm>
          <a:off x="10589559" y="1490382"/>
          <a:ext cx="5099238" cy="504265"/>
        </a:xfrm>
        <a:prstGeom prst="rect">
          <a:avLst/>
        </a:pr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문서번호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해당란은 공란으로 비워두시면 됩니다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추후 일괄 기재 예정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1.xml"/><Relationship Id="rId11" Type="http://schemas.openxmlformats.org/officeDocument/2006/relationships/ctrlProp" Target="../ctrlProps/ctrlProp16.xml"/><Relationship Id="rId5" Type="http://schemas.openxmlformats.org/officeDocument/2006/relationships/ctrlProp" Target="../ctrlProps/ctrlProp10.xml"/><Relationship Id="rId10" Type="http://schemas.openxmlformats.org/officeDocument/2006/relationships/ctrlProp" Target="../ctrlProps/ctrlProp15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1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9.xml"/><Relationship Id="rId11" Type="http://schemas.openxmlformats.org/officeDocument/2006/relationships/ctrlProp" Target="../ctrlProps/ctrlProp24.xml"/><Relationship Id="rId5" Type="http://schemas.openxmlformats.org/officeDocument/2006/relationships/ctrlProp" Target="../ctrlProps/ctrlProp18.xml"/><Relationship Id="rId10" Type="http://schemas.openxmlformats.org/officeDocument/2006/relationships/ctrlProp" Target="../ctrlProps/ctrlProp23.xml"/><Relationship Id="rId4" Type="http://schemas.openxmlformats.org/officeDocument/2006/relationships/ctrlProp" Target="../ctrlProps/ctrlProp17.xml"/><Relationship Id="rId9" Type="http://schemas.openxmlformats.org/officeDocument/2006/relationships/ctrlProp" Target="../ctrlProps/ctrlProp2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7.xml"/><Relationship Id="rId11" Type="http://schemas.openxmlformats.org/officeDocument/2006/relationships/ctrlProp" Target="../ctrlProps/ctrlProp32.xml"/><Relationship Id="rId5" Type="http://schemas.openxmlformats.org/officeDocument/2006/relationships/ctrlProp" Target="../ctrlProps/ctrlProp26.xml"/><Relationship Id="rId10" Type="http://schemas.openxmlformats.org/officeDocument/2006/relationships/ctrlProp" Target="../ctrlProps/ctrlProp31.xml"/><Relationship Id="rId4" Type="http://schemas.openxmlformats.org/officeDocument/2006/relationships/ctrlProp" Target="../ctrlProps/ctrlProp25.xml"/><Relationship Id="rId9" Type="http://schemas.openxmlformats.org/officeDocument/2006/relationships/ctrlProp" Target="../ctrlProps/ctrlProp3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0" Type="http://schemas.openxmlformats.org/officeDocument/2006/relationships/ctrlProp" Target="../ctrlProps/ctrlProp39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5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3.xml"/><Relationship Id="rId11" Type="http://schemas.openxmlformats.org/officeDocument/2006/relationships/ctrlProp" Target="../ctrlProps/ctrlProp48.xml"/><Relationship Id="rId5" Type="http://schemas.openxmlformats.org/officeDocument/2006/relationships/ctrlProp" Target="../ctrlProps/ctrlProp42.xml"/><Relationship Id="rId10" Type="http://schemas.openxmlformats.org/officeDocument/2006/relationships/ctrlProp" Target="../ctrlProps/ctrlProp47.xml"/><Relationship Id="rId4" Type="http://schemas.openxmlformats.org/officeDocument/2006/relationships/ctrlProp" Target="../ctrlProps/ctrlProp41.xml"/><Relationship Id="rId9" Type="http://schemas.openxmlformats.org/officeDocument/2006/relationships/ctrlProp" Target="../ctrlProps/ctrlProp4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1.xml"/><Relationship Id="rId11" Type="http://schemas.openxmlformats.org/officeDocument/2006/relationships/ctrlProp" Target="../ctrlProps/ctrlProp56.xml"/><Relationship Id="rId5" Type="http://schemas.openxmlformats.org/officeDocument/2006/relationships/ctrlProp" Target="../ctrlProps/ctrlProp50.xml"/><Relationship Id="rId10" Type="http://schemas.openxmlformats.org/officeDocument/2006/relationships/ctrlProp" Target="../ctrlProps/ctrlProp55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11" Type="http://schemas.openxmlformats.org/officeDocument/2006/relationships/ctrlProp" Target="../ctrlProps/ctrlProp64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9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7.xml"/><Relationship Id="rId11" Type="http://schemas.openxmlformats.org/officeDocument/2006/relationships/ctrlProp" Target="../ctrlProps/ctrlProp72.xml"/><Relationship Id="rId5" Type="http://schemas.openxmlformats.org/officeDocument/2006/relationships/ctrlProp" Target="../ctrlProps/ctrlProp66.xml"/><Relationship Id="rId10" Type="http://schemas.openxmlformats.org/officeDocument/2006/relationships/ctrlProp" Target="../ctrlProps/ctrlProp71.xml"/><Relationship Id="rId4" Type="http://schemas.openxmlformats.org/officeDocument/2006/relationships/ctrlProp" Target="../ctrlProps/ctrlProp65.xml"/><Relationship Id="rId9" Type="http://schemas.openxmlformats.org/officeDocument/2006/relationships/ctrlProp" Target="../ctrlProps/ctrlProp70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7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7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75.xml"/><Relationship Id="rId11" Type="http://schemas.openxmlformats.org/officeDocument/2006/relationships/ctrlProp" Target="../ctrlProps/ctrlProp80.xml"/><Relationship Id="rId5" Type="http://schemas.openxmlformats.org/officeDocument/2006/relationships/ctrlProp" Target="../ctrlProps/ctrlProp74.xml"/><Relationship Id="rId10" Type="http://schemas.openxmlformats.org/officeDocument/2006/relationships/ctrlProp" Target="../ctrlProps/ctrlProp79.xml"/><Relationship Id="rId4" Type="http://schemas.openxmlformats.org/officeDocument/2006/relationships/ctrlProp" Target="../ctrlProps/ctrlProp73.xml"/><Relationship Id="rId9" Type="http://schemas.openxmlformats.org/officeDocument/2006/relationships/ctrlProp" Target="../ctrlProps/ctrlProp78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5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84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83.xml"/><Relationship Id="rId11" Type="http://schemas.openxmlformats.org/officeDocument/2006/relationships/ctrlProp" Target="../ctrlProps/ctrlProp88.xml"/><Relationship Id="rId5" Type="http://schemas.openxmlformats.org/officeDocument/2006/relationships/ctrlProp" Target="../ctrlProps/ctrlProp82.xml"/><Relationship Id="rId10" Type="http://schemas.openxmlformats.org/officeDocument/2006/relationships/ctrlProp" Target="../ctrlProps/ctrlProp87.xml"/><Relationship Id="rId4" Type="http://schemas.openxmlformats.org/officeDocument/2006/relationships/ctrlProp" Target="../ctrlProps/ctrlProp81.xml"/><Relationship Id="rId9" Type="http://schemas.openxmlformats.org/officeDocument/2006/relationships/ctrlProp" Target="../ctrlProps/ctrlProp8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3.xml"/><Relationship Id="rId3" Type="http://schemas.openxmlformats.org/officeDocument/2006/relationships/vmlDrawing" Target="../drawings/vmlDrawing12.vml"/><Relationship Id="rId7" Type="http://schemas.openxmlformats.org/officeDocument/2006/relationships/ctrlProp" Target="../ctrlProps/ctrlProp9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91.xml"/><Relationship Id="rId11" Type="http://schemas.openxmlformats.org/officeDocument/2006/relationships/ctrlProp" Target="../ctrlProps/ctrlProp96.xml"/><Relationship Id="rId5" Type="http://schemas.openxmlformats.org/officeDocument/2006/relationships/ctrlProp" Target="../ctrlProps/ctrlProp90.xml"/><Relationship Id="rId10" Type="http://schemas.openxmlformats.org/officeDocument/2006/relationships/ctrlProp" Target="../ctrlProps/ctrlProp95.xml"/><Relationship Id="rId4" Type="http://schemas.openxmlformats.org/officeDocument/2006/relationships/ctrlProp" Target="../ctrlProps/ctrlProp89.xml"/><Relationship Id="rId9" Type="http://schemas.openxmlformats.org/officeDocument/2006/relationships/ctrlProp" Target="../ctrlProps/ctrlProp94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1.xml"/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100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99.xml"/><Relationship Id="rId11" Type="http://schemas.openxmlformats.org/officeDocument/2006/relationships/ctrlProp" Target="../ctrlProps/ctrlProp104.xml"/><Relationship Id="rId5" Type="http://schemas.openxmlformats.org/officeDocument/2006/relationships/ctrlProp" Target="../ctrlProps/ctrlProp98.xml"/><Relationship Id="rId10" Type="http://schemas.openxmlformats.org/officeDocument/2006/relationships/ctrlProp" Target="../ctrlProps/ctrlProp103.xml"/><Relationship Id="rId4" Type="http://schemas.openxmlformats.org/officeDocument/2006/relationships/ctrlProp" Target="../ctrlProps/ctrlProp97.xml"/><Relationship Id="rId9" Type="http://schemas.openxmlformats.org/officeDocument/2006/relationships/ctrlProp" Target="../ctrlProps/ctrlProp10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108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107.xml"/><Relationship Id="rId5" Type="http://schemas.openxmlformats.org/officeDocument/2006/relationships/ctrlProp" Target="../ctrlProps/ctrlProp106.xml"/><Relationship Id="rId4" Type="http://schemas.openxmlformats.org/officeDocument/2006/relationships/ctrlProp" Target="../ctrlProps/ctrlProp10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8517-70A4-4F38-9F72-EA05C61E4F6E}">
  <sheetPr>
    <tabColor theme="9" tint="0.79998168889431442"/>
    <pageSetUpPr fitToPage="1"/>
  </sheetPr>
  <dimension ref="A1:X59"/>
  <sheetViews>
    <sheetView tabSelected="1" view="pageBreakPreview" zoomScale="85" zoomScaleNormal="85" zoomScaleSheetLayoutView="85" workbookViewId="0">
      <selection activeCell="C11" sqref="C11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96</v>
      </c>
      <c r="G12" s="175"/>
      <c r="H12" s="3" t="s">
        <v>67</v>
      </c>
      <c r="I12" s="175" t="s">
        <v>28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56</v>
      </c>
      <c r="D20" s="47" t="s">
        <v>28</v>
      </c>
      <c r="E20" s="126">
        <v>4</v>
      </c>
      <c r="F20" s="127"/>
      <c r="G20" s="128">
        <v>0</v>
      </c>
      <c r="H20" s="129"/>
      <c r="I20" s="14"/>
      <c r="J20" s="15"/>
      <c r="K20" s="16"/>
      <c r="L20" s="17"/>
      <c r="M20" s="15"/>
      <c r="N20" s="16"/>
      <c r="O20" s="18"/>
      <c r="P20" s="15"/>
      <c r="Q20" s="16"/>
      <c r="R20" s="17"/>
      <c r="S20" s="15"/>
      <c r="T20" s="16"/>
      <c r="U20" s="130">
        <f>SUM(I20:T20)</f>
        <v>0</v>
      </c>
      <c r="V20" s="131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4</v>
      </c>
      <c r="F21" s="135"/>
      <c r="G21" s="136">
        <f>SUM(G20:H20)</f>
        <v>0</v>
      </c>
      <c r="H21" s="137"/>
      <c r="I21" s="30">
        <f t="shared" ref="I21:T21" si="0">SUM(I20:I20)</f>
        <v>0</v>
      </c>
      <c r="J21" s="50">
        <f t="shared" si="0"/>
        <v>0</v>
      </c>
      <c r="K21" s="51">
        <f t="shared" si="0"/>
        <v>0</v>
      </c>
      <c r="L21" s="32">
        <f t="shared" si="0"/>
        <v>0</v>
      </c>
      <c r="M21" s="31">
        <f t="shared" si="0"/>
        <v>0</v>
      </c>
      <c r="N21" s="50">
        <f t="shared" si="0"/>
        <v>0</v>
      </c>
      <c r="O21" s="52">
        <f t="shared" si="0"/>
        <v>0</v>
      </c>
      <c r="P21" s="50">
        <f t="shared" si="0"/>
        <v>0</v>
      </c>
      <c r="Q21" s="50">
        <f t="shared" si="0"/>
        <v>0</v>
      </c>
      <c r="R21" s="52">
        <f t="shared" si="0"/>
        <v>0</v>
      </c>
      <c r="S21" s="32">
        <f t="shared" si="0"/>
        <v>0</v>
      </c>
      <c r="T21" s="31">
        <f t="shared" si="0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E44:N44"/>
    <mergeCell ref="E43:N43"/>
    <mergeCell ref="C22:V22"/>
    <mergeCell ref="C23:V23"/>
    <mergeCell ref="C24:V24"/>
    <mergeCell ref="C25:D26"/>
    <mergeCell ref="C27:V31"/>
    <mergeCell ref="E25:K26"/>
    <mergeCell ref="O54:V54"/>
    <mergeCell ref="O46:V46"/>
    <mergeCell ref="O47:V47"/>
    <mergeCell ref="C46:D46"/>
    <mergeCell ref="C47:D47"/>
    <mergeCell ref="C34:K38"/>
    <mergeCell ref="C32:K33"/>
    <mergeCell ref="C48:V49"/>
    <mergeCell ref="C50:V51"/>
    <mergeCell ref="C52:V53"/>
    <mergeCell ref="O43:V43"/>
    <mergeCell ref="O44:V44"/>
    <mergeCell ref="O45:V45"/>
    <mergeCell ref="C44:D44"/>
    <mergeCell ref="C45:D45"/>
    <mergeCell ref="C39:V40"/>
    <mergeCell ref="C41:V42"/>
    <mergeCell ref="C43:D43"/>
    <mergeCell ref="E45:N45"/>
    <mergeCell ref="L32:V33"/>
    <mergeCell ref="L34:V38"/>
    <mergeCell ref="E46:N46"/>
    <mergeCell ref="E47:N47"/>
    <mergeCell ref="C55:E55"/>
    <mergeCell ref="F55:N55"/>
    <mergeCell ref="C56:E56"/>
    <mergeCell ref="F56:N56"/>
    <mergeCell ref="C54:E54"/>
    <mergeCell ref="F54:N54"/>
  </mergeCells>
  <phoneticPr fontId="3" type="noConversion"/>
  <dataValidations disablePrompts="1" count="7">
    <dataValidation type="list" allowBlank="1" showInputMessage="1" showErrorMessage="1" sqref="I12:J12" xr:uid="{F2C904FF-7C32-40EB-B66C-71D0233828D1}">
      <formula1>"솔루션영업팀, TS팀, CS팀, DT영업팀, 컨설팅팀, 마케팅팀, BIM1팀, FAB1팀, FAB2팀, FAB3팀, FAB4팀"</formula1>
    </dataValidation>
    <dataValidation type="list" allowBlank="1" showInputMessage="1" showErrorMessage="1" sqref="F12:G12" xr:uid="{952F1E1D-237A-41CA-89EF-B612FFFD9099}">
      <formula1>"솔루션그룹, 컨설팅그룹, BIM그룹"</formula1>
    </dataValidation>
    <dataValidation type="list" allowBlank="1" showInputMessage="1" showErrorMessage="1" sqref="S11" xr:uid="{596E662A-259E-4F2E-84CB-AEFBCFA96D3D}">
      <formula1>"분기, 긴급"</formula1>
    </dataValidation>
    <dataValidation type="list" allowBlank="1" showInputMessage="1" showErrorMessage="1" sqref="S13" xr:uid="{F24F23A7-89EE-42C8-A311-A54F17136832}">
      <formula1>"신입, 경력"</formula1>
    </dataValidation>
    <dataValidation type="list" allowBlank="1" showInputMessage="1" showErrorMessage="1" sqref="U13" xr:uid="{D04B8C1E-6761-43D7-B50F-5B53F452CF30}">
      <formula1>"정규직,계약직,아르바이트"</formula1>
    </dataValidation>
    <dataValidation type="list" allowBlank="1" showInputMessage="1" showErrorMessage="1" sqref="K12:L12" xr:uid="{306A7790-5E1E-4272-A873-7B52FC69BA64}">
      <formula1>"경영지원팀, HR팀, 시스템 운영팀"</formula1>
    </dataValidation>
    <dataValidation type="list" allowBlank="1" showInputMessage="1" showErrorMessage="1" sqref="E25" xr:uid="{FCE99048-754A-446E-A426-211B82E3AF34}">
      <formula1>"기존 사업 확대, 프로젝트 확대, 직무 확대, 신사업을 위한 인원충원, 기존 인원 퇴사 및 휴직"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61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2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3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4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5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6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7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8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8A9F-E7E5-47CB-83AE-3A99E71ACFC5}">
  <sheetPr>
    <tabColor theme="9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96</v>
      </c>
      <c r="G12" s="175"/>
      <c r="H12" s="3" t="s">
        <v>67</v>
      </c>
      <c r="I12" s="175" t="s">
        <v>29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56</v>
      </c>
      <c r="D20" s="2" t="s">
        <v>29</v>
      </c>
      <c r="E20" s="190">
        <v>4</v>
      </c>
      <c r="F20" s="191"/>
      <c r="G20" s="192">
        <v>2</v>
      </c>
      <c r="H20" s="193"/>
      <c r="I20" s="19"/>
      <c r="J20" s="20"/>
      <c r="K20" s="21"/>
      <c r="L20" s="22"/>
      <c r="M20" s="23"/>
      <c r="N20" s="24"/>
      <c r="O20" s="22"/>
      <c r="P20" s="23"/>
      <c r="Q20" s="21"/>
      <c r="R20" s="22"/>
      <c r="S20" s="23"/>
      <c r="T20" s="24"/>
      <c r="U20" s="130">
        <f t="shared" ref="U20" si="0">SUM(I20:T20)</f>
        <v>0</v>
      </c>
      <c r="V20" s="131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4</v>
      </c>
      <c r="F21" s="135"/>
      <c r="G21" s="136">
        <f>SUM(G20:H20)</f>
        <v>2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E25" xr:uid="{F576C961-A5C9-4750-BD43-2AD9220767FF}">
      <formula1>"기존 사업 확대, 프로젝트 확대, 직무 확대, 신사업을 위한 인원충원, 기존 인원 퇴사 및 휴직"</formula1>
    </dataValidation>
    <dataValidation type="list" allowBlank="1" showInputMessage="1" showErrorMessage="1" sqref="K12:L12" xr:uid="{CD175A6F-50F5-410F-8C8D-5D94515C056C}">
      <formula1>"경영지원팀, HR팀, 시스템 운영팀"</formula1>
    </dataValidation>
    <dataValidation type="list" allowBlank="1" showInputMessage="1" showErrorMessage="1" sqref="U13" xr:uid="{56ED43B5-2665-4EF8-B9D8-C939F94C65C5}">
      <formula1>"정규직,계약직,아르바이트"</formula1>
    </dataValidation>
    <dataValidation type="list" allowBlank="1" showInputMessage="1" showErrorMessage="1" sqref="S13" xr:uid="{C95F2954-3515-4FC7-A04D-E6C014C4C962}">
      <formula1>"신입, 경력"</formula1>
    </dataValidation>
    <dataValidation type="list" allowBlank="1" showInputMessage="1" showErrorMessage="1" sqref="S11" xr:uid="{37B0B984-84D1-4D9F-BC88-C9443310B14A}">
      <formula1>"분기, 긴급"</formula1>
    </dataValidation>
    <dataValidation type="list" allowBlank="1" showInputMessage="1" showErrorMessage="1" sqref="F12:G12" xr:uid="{4ACA4044-D331-4A59-8B12-E471E9BA8477}">
      <formula1>"솔루션그룹, 컨설팅그룹, BIM그룹"</formula1>
    </dataValidation>
    <dataValidation type="list" allowBlank="1" showInputMessage="1" showErrorMessage="1" sqref="I12:J12" xr:uid="{FAB8991C-0A7F-4FF3-B8FA-B01774C486E7}">
      <formula1>"솔루션영업팀, TS팀, CS팀, DT영업팀, 컨설팅팀, 마케팅팀, BIM1팀, FAB1팀, FAB2팀, FAB3팀, FAB4팀"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7585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6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7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8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9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0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1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2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9847-8B0B-4905-AD90-F5EA4921012D}">
  <sheetPr>
    <tabColor theme="9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96</v>
      </c>
      <c r="G12" s="175"/>
      <c r="H12" s="3" t="s">
        <v>67</v>
      </c>
      <c r="I12" s="175" t="s">
        <v>79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56</v>
      </c>
      <c r="D20" s="48" t="s">
        <v>79</v>
      </c>
      <c r="E20" s="194">
        <v>4</v>
      </c>
      <c r="F20" s="195"/>
      <c r="G20" s="196">
        <v>0</v>
      </c>
      <c r="H20" s="197"/>
      <c r="I20" s="25"/>
      <c r="J20" s="26"/>
      <c r="K20" s="27"/>
      <c r="L20" s="28"/>
      <c r="M20" s="26"/>
      <c r="N20" s="29"/>
      <c r="O20" s="28"/>
      <c r="P20" s="26"/>
      <c r="Q20" s="27"/>
      <c r="R20" s="28"/>
      <c r="S20" s="26"/>
      <c r="T20" s="29"/>
      <c r="U20" s="198">
        <f t="shared" ref="U20" si="0">SUM(I20:T20)</f>
        <v>0</v>
      </c>
      <c r="V20" s="199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4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I12:J12" xr:uid="{E856F367-DCA5-4CF8-9475-25CDDDF8FC4A}">
      <formula1>"솔루션영업팀, TS팀, CS팀, DT영업팀, 컨설팅팀, 마케팅팀, BIM1팀, FAB1팀, FAB2팀, FAB3팀, FAB4팀"</formula1>
    </dataValidation>
    <dataValidation type="list" allowBlank="1" showInputMessage="1" showErrorMessage="1" sqref="F12:G12" xr:uid="{BEF55D42-272E-4580-97FB-25A8E2E535B5}">
      <formula1>"솔루션그룹, 컨설팅그룹, BIM그룹"</formula1>
    </dataValidation>
    <dataValidation type="list" allowBlank="1" showInputMessage="1" showErrorMessage="1" sqref="S11" xr:uid="{3D7ADFF3-B0BE-44A4-A7D5-D668DF5FE121}">
      <formula1>"분기, 긴급"</formula1>
    </dataValidation>
    <dataValidation type="list" allowBlank="1" showInputMessage="1" showErrorMessage="1" sqref="S13" xr:uid="{D61B2F4E-6207-4A3C-A4B4-78F5730C40A7}">
      <formula1>"신입, 경력"</formula1>
    </dataValidation>
    <dataValidation type="list" allowBlank="1" showInputMessage="1" showErrorMessage="1" sqref="U13" xr:uid="{2ED9BE81-4A5F-4099-860C-DD3513A7FAFC}">
      <formula1>"정규직,계약직,아르바이트"</formula1>
    </dataValidation>
    <dataValidation type="list" allowBlank="1" showInputMessage="1" showErrorMessage="1" sqref="K12:L12" xr:uid="{B3FABF97-158B-4A4D-9465-CF3862CD1349}">
      <formula1>"경영지원팀, HR팀, 시스템 운영팀"</formula1>
    </dataValidation>
    <dataValidation type="list" allowBlank="1" showInputMessage="1" showErrorMessage="1" sqref="E25" xr:uid="{3D2E5BE6-7F84-498E-BAFD-BC159629DAC7}">
      <formula1>"기존 사업 확대, 프로젝트 확대, 직무 확대, 신사업을 위한 인원충원, 기존 인원 퇴사 및 휴직"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8609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0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1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2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3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4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5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6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0481-7F93-438F-BED1-EBA463A9B815}">
  <sheetPr>
    <tabColor theme="8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97</v>
      </c>
      <c r="G12" s="175"/>
      <c r="H12" s="3" t="s">
        <v>67</v>
      </c>
      <c r="I12" s="175" t="s">
        <v>98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85</v>
      </c>
      <c r="D20" s="46" t="s">
        <v>92</v>
      </c>
      <c r="E20" s="126">
        <v>3</v>
      </c>
      <c r="F20" s="127"/>
      <c r="G20" s="128">
        <v>0</v>
      </c>
      <c r="H20" s="129"/>
      <c r="I20" s="19"/>
      <c r="J20" s="20"/>
      <c r="K20" s="21"/>
      <c r="L20" s="22"/>
      <c r="M20" s="23"/>
      <c r="N20" s="24"/>
      <c r="O20" s="22"/>
      <c r="P20" s="23"/>
      <c r="Q20" s="21"/>
      <c r="R20" s="22"/>
      <c r="S20" s="23"/>
      <c r="T20" s="24"/>
      <c r="U20" s="200">
        <f t="shared" ref="U20" si="0">SUM(I20:T20)</f>
        <v>0</v>
      </c>
      <c r="V20" s="201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3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E25" xr:uid="{58ADB46B-4B9B-4C82-A191-C91B6CF72304}">
      <formula1>"기존 사업 확대, 프로젝트 확대, 직무 확대, 신사업을 위한 인원충원, 기존 인원 퇴사 및 휴직"</formula1>
    </dataValidation>
    <dataValidation type="list" allowBlank="1" showInputMessage="1" showErrorMessage="1" sqref="K12:L12" xr:uid="{AF7CF6AC-F95A-4FE3-A5E3-CC49ACEEF704}">
      <formula1>"경영지원팀, HR팀, 시스템 운영팀"</formula1>
    </dataValidation>
    <dataValidation type="list" allowBlank="1" showInputMessage="1" showErrorMessage="1" sqref="U13" xr:uid="{D25F5E3A-E0FF-4F76-8625-ED4B79CF5BB4}">
      <formula1>"정규직,계약직,아르바이트"</formula1>
    </dataValidation>
    <dataValidation type="list" allowBlank="1" showInputMessage="1" showErrorMessage="1" sqref="S13" xr:uid="{FECECA08-1EAE-40A3-95BC-673E961F58F9}">
      <formula1>"신입, 경력"</formula1>
    </dataValidation>
    <dataValidation type="list" allowBlank="1" showInputMessage="1" showErrorMessage="1" sqref="S11" xr:uid="{34211A91-8DB8-4BC3-9D15-FB50EDA4A247}">
      <formula1>"분기, 긴급"</formula1>
    </dataValidation>
    <dataValidation type="list" allowBlank="1" showInputMessage="1" showErrorMessage="1" sqref="F12:G12" xr:uid="{A90E18CC-7E3B-4B99-9FA5-AA9D15E9816C}">
      <formula1>"솔루션그룹, 컨설팅그룹, BIM그룹"</formula1>
    </dataValidation>
    <dataValidation type="list" allowBlank="1" showInputMessage="1" showErrorMessage="1" sqref="I12:J12" xr:uid="{B10B59A3-2341-4ACF-8455-4A2429B17694}">
      <formula1>"솔루션영업팀, TS팀, CS팀, DT영업팀, 컨설팅팀, 마케팅팀, BIM1팀, FAB1팀, FAB2팀, FAB3팀, FAB4팀"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633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4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6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7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8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9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40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94CE-C9AE-4E63-9DE3-FE306BA8F921}">
  <sheetPr>
    <tabColor theme="8" tint="0.79998168889431442"/>
    <pageSetUpPr fitToPage="1"/>
  </sheetPr>
  <dimension ref="A1:X59"/>
  <sheetViews>
    <sheetView view="pageBreakPreview" zoomScale="85" zoomScaleNormal="85" zoomScaleSheetLayoutView="85" workbookViewId="0">
      <selection activeCell="Z30" sqref="Z30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97</v>
      </c>
      <c r="G12" s="175"/>
      <c r="H12" s="3" t="s">
        <v>67</v>
      </c>
      <c r="I12" s="175" t="s">
        <v>93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85</v>
      </c>
      <c r="D20" s="53" t="s">
        <v>93</v>
      </c>
      <c r="E20" s="194">
        <v>5</v>
      </c>
      <c r="F20" s="195"/>
      <c r="G20" s="196">
        <v>0</v>
      </c>
      <c r="H20" s="197"/>
      <c r="I20" s="25"/>
      <c r="J20" s="26"/>
      <c r="K20" s="27"/>
      <c r="L20" s="28"/>
      <c r="M20" s="26"/>
      <c r="N20" s="29"/>
      <c r="O20" s="28"/>
      <c r="P20" s="26"/>
      <c r="Q20" s="27"/>
      <c r="R20" s="28"/>
      <c r="S20" s="26"/>
      <c r="T20" s="29"/>
      <c r="U20" s="198">
        <f t="shared" ref="U20" si="0">SUM(I20:T20)</f>
        <v>0</v>
      </c>
      <c r="V20" s="199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5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I12:J12" xr:uid="{D8BB8E00-B73A-4BF4-B649-5D934F8FC83A}">
      <formula1>"솔루션영업팀, TS팀, CS팀, DT영업팀, 컨설팅팀, 마케팅팀, BIM1팀, FAB1팀, FAB2팀, FAB3팀, FAB4팀"</formula1>
    </dataValidation>
    <dataValidation type="list" allowBlank="1" showInputMessage="1" showErrorMessage="1" sqref="F12:G12" xr:uid="{B909714B-1D0A-42FC-A735-29C23E1377E5}">
      <formula1>"솔루션그룹, 컨설팅그룹, BIM그룹"</formula1>
    </dataValidation>
    <dataValidation type="list" allowBlank="1" showInputMessage="1" showErrorMessage="1" sqref="S11" xr:uid="{F2F77575-629A-4364-8486-353038F30D56}">
      <formula1>"분기, 긴급"</formula1>
    </dataValidation>
    <dataValidation type="list" allowBlank="1" showInputMessage="1" showErrorMessage="1" sqref="S13" xr:uid="{3897C05B-FBE6-44EA-B7DE-CF8B760CA044}">
      <formula1>"신입, 경력"</formula1>
    </dataValidation>
    <dataValidation type="list" allowBlank="1" showInputMessage="1" showErrorMessage="1" sqref="U13" xr:uid="{7E9D5A8F-DB07-4AC0-81FB-38F4EE57FA8B}">
      <formula1>"정규직,계약직,아르바이트"</formula1>
    </dataValidation>
    <dataValidation type="list" allowBlank="1" showInputMessage="1" showErrorMessage="1" sqref="K12:L12" xr:uid="{4CAEBC5B-C8CE-4564-93C5-41F5FA311EEE}">
      <formula1>"경영지원팀, HR팀, 시스템 운영팀"</formula1>
    </dataValidation>
    <dataValidation type="list" allowBlank="1" showInputMessage="1" showErrorMessage="1" sqref="E25" xr:uid="{39A6E5FC-15AD-484E-AD6B-AAC116021456}">
      <formula1>"기존 사업 확대, 프로젝트 확대, 직무 확대, 신사업을 위한 인원충원, 기존 인원 퇴사 및 휴직"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0657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58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59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60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61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62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63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64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A4A3-756D-400B-8152-41C73768D838}">
  <sheetPr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/>
      <c r="G12" s="175"/>
      <c r="H12" s="3" t="s">
        <v>67</v>
      </c>
      <c r="I12" s="175" t="s">
        <v>103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/>
      <c r="D20" s="60" t="s">
        <v>86</v>
      </c>
      <c r="E20" s="202">
        <v>2</v>
      </c>
      <c r="F20" s="203"/>
      <c r="G20" s="204">
        <v>1</v>
      </c>
      <c r="H20" s="205"/>
      <c r="I20" s="55"/>
      <c r="J20" s="56"/>
      <c r="K20" s="57"/>
      <c r="L20" s="58"/>
      <c r="M20" s="56"/>
      <c r="N20" s="59"/>
      <c r="O20" s="58"/>
      <c r="P20" s="56"/>
      <c r="Q20" s="57"/>
      <c r="R20" s="58"/>
      <c r="S20" s="56"/>
      <c r="T20" s="59"/>
      <c r="U20" s="206">
        <f t="shared" ref="U20" si="0">SUM(I20:T20)</f>
        <v>0</v>
      </c>
      <c r="V20" s="207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2</v>
      </c>
      <c r="F21" s="135"/>
      <c r="G21" s="136">
        <f>SUM(G20:H20)</f>
        <v>1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E25" xr:uid="{5887E9D8-E0A5-4B67-B9E1-B5315B856C97}">
      <formula1>"기존 사업 확대, 프로젝트 확대, 직무 확대, 신사업을 위한 인원충원, 기존 인원 퇴사 및 휴직"</formula1>
    </dataValidation>
    <dataValidation type="list" allowBlank="1" showInputMessage="1" showErrorMessage="1" sqref="K12:L12" xr:uid="{0059216E-5CD4-4190-AC11-365B5B5C9E9E}">
      <formula1>"경영지원팀, HR팀, 시스템 운영팀"</formula1>
    </dataValidation>
    <dataValidation type="list" allowBlank="1" showInputMessage="1" showErrorMessage="1" sqref="U13" xr:uid="{A8905E3D-8CC6-4595-9EE7-5D54EDD97B9E}">
      <formula1>"정규직,계약직,아르바이트"</formula1>
    </dataValidation>
    <dataValidation type="list" allowBlank="1" showInputMessage="1" showErrorMessage="1" sqref="S13" xr:uid="{CB2EDD28-4C5C-48D0-832F-50335F304843}">
      <formula1>"신입, 경력"</formula1>
    </dataValidation>
    <dataValidation type="list" allowBlank="1" showInputMessage="1" showErrorMessage="1" sqref="S11" xr:uid="{E70E0504-1277-446B-B0CE-AD9722A29FDA}">
      <formula1>"분기, 긴급"</formula1>
    </dataValidation>
    <dataValidation type="list" allowBlank="1" showInputMessage="1" showErrorMessage="1" sqref="F12:G12" xr:uid="{8B1FE088-E1DC-4FF1-A331-75B05A19CCE2}">
      <formula1>"솔루션그룹, 컨설팅그룹, BIM그룹"</formula1>
    </dataValidation>
    <dataValidation type="list" allowBlank="1" showInputMessage="1" showErrorMessage="1" sqref="I12:J12" xr:uid="{E96D2726-302B-4583-B189-6251DFD24A7E}">
      <formula1>"솔루션영업팀, TS팀, CS팀, DT영업팀, 컨설팅팀, 마케팅팀, BIM1팀, FAB1팀, FAB2팀, FAB3팀, FAB4팀"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81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2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3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4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5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6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7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8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D8A8-0C01-40DD-A8A7-057F41E5C196}">
  <sheetPr>
    <tabColor theme="5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99</v>
      </c>
      <c r="G12" s="175"/>
      <c r="H12" s="3" t="s">
        <v>67</v>
      </c>
      <c r="I12" s="175" t="s">
        <v>100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57</v>
      </c>
      <c r="D20" s="46" t="s">
        <v>87</v>
      </c>
      <c r="E20" s="126">
        <v>21</v>
      </c>
      <c r="F20" s="127"/>
      <c r="G20" s="128">
        <v>0</v>
      </c>
      <c r="H20" s="129"/>
      <c r="I20" s="14"/>
      <c r="J20" s="15"/>
      <c r="K20" s="16"/>
      <c r="L20" s="17"/>
      <c r="M20" s="15"/>
      <c r="N20" s="16"/>
      <c r="O20" s="18"/>
      <c r="P20" s="15"/>
      <c r="Q20" s="16"/>
      <c r="R20" s="17"/>
      <c r="S20" s="15"/>
      <c r="T20" s="16"/>
      <c r="U20" s="200">
        <f t="shared" ref="U20" si="0">SUM(I20:T20)</f>
        <v>0</v>
      </c>
      <c r="V20" s="201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21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I12:J12" xr:uid="{C7CC96F0-79ED-41C7-81D7-467E9D74A20A}">
      <formula1>"솔루션영업팀, TS팀, CS팀, DT영업팀, 컨설팅팀, 마케팅팀, BIM1팀, FAB1팀, FAB2팀, FAB3팀, FAB4팀"</formula1>
    </dataValidation>
    <dataValidation type="list" allowBlank="1" showInputMessage="1" showErrorMessage="1" sqref="F12:G12" xr:uid="{6501987C-FB4E-4E51-BE65-587FBBAFAC02}">
      <formula1>"솔루션그룹, 컨설팅그룹, BIM그룹"</formula1>
    </dataValidation>
    <dataValidation type="list" allowBlank="1" showInputMessage="1" showErrorMessage="1" sqref="S11" xr:uid="{AA5550C7-596C-49AB-91EE-402D131578F0}">
      <formula1>"분기, 긴급"</formula1>
    </dataValidation>
    <dataValidation type="list" allowBlank="1" showInputMessage="1" showErrorMessage="1" sqref="S13" xr:uid="{5F146095-3173-4AD9-981F-BC7FBEC62489}">
      <formula1>"신입, 경력"</formula1>
    </dataValidation>
    <dataValidation type="list" allowBlank="1" showInputMessage="1" showErrorMessage="1" sqref="U13" xr:uid="{470F2045-E8FD-4153-B2B7-1FAE1CC4BF16}">
      <formula1>"정규직,계약직,아르바이트"</formula1>
    </dataValidation>
    <dataValidation type="list" allowBlank="1" showInputMessage="1" showErrorMessage="1" sqref="K12:L12" xr:uid="{5C50662D-5E39-43C1-A69A-EA02A82DA7AE}">
      <formula1>"경영지원팀, HR팀, 시스템 운영팀"</formula1>
    </dataValidation>
    <dataValidation type="list" allowBlank="1" showInputMessage="1" showErrorMessage="1" sqref="E25" xr:uid="{0FD08E11-0E91-4A5D-A472-1F3C2B77CAAB}">
      <formula1>"기존 사업 확대, 프로젝트 확대, 직무 확대, 신사업을 위한 인원충원, 기존 인원 퇴사 및 휴직"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705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06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07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08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09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10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11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12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DDDA-62E0-4F1E-830B-D01D1E0268B9}">
  <sheetPr>
    <tabColor theme="5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99</v>
      </c>
      <c r="G12" s="175"/>
      <c r="H12" s="3" t="s">
        <v>67</v>
      </c>
      <c r="I12" s="175" t="s">
        <v>101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63" t="s">
        <v>57</v>
      </c>
      <c r="D20" s="46" t="s">
        <v>88</v>
      </c>
      <c r="E20" s="190">
        <v>11</v>
      </c>
      <c r="F20" s="191"/>
      <c r="G20" s="192">
        <v>0</v>
      </c>
      <c r="H20" s="193"/>
      <c r="I20" s="19"/>
      <c r="J20" s="20"/>
      <c r="K20" s="21"/>
      <c r="L20" s="22"/>
      <c r="M20" s="23"/>
      <c r="N20" s="24"/>
      <c r="O20" s="22"/>
      <c r="P20" s="23"/>
      <c r="Q20" s="21"/>
      <c r="R20" s="22"/>
      <c r="S20" s="23"/>
      <c r="T20" s="24"/>
      <c r="U20" s="208">
        <f t="shared" ref="U20" si="0">SUM(I20:T20)</f>
        <v>0</v>
      </c>
      <c r="V20" s="209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11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E25" xr:uid="{246A547A-1BC0-47F6-B3A5-3523805BEBBC}">
      <formula1>"기존 사업 확대, 프로젝트 확대, 직무 확대, 신사업을 위한 인원충원, 기존 인원 퇴사 및 휴직"</formula1>
    </dataValidation>
    <dataValidation type="list" allowBlank="1" showInputMessage="1" showErrorMessage="1" sqref="K12:L12" xr:uid="{9B5CCECB-C022-4362-80DB-69F4148945EE}">
      <formula1>"경영지원팀, HR팀, 시스템 운영팀"</formula1>
    </dataValidation>
    <dataValidation type="list" allowBlank="1" showInputMessage="1" showErrorMessage="1" sqref="U13" xr:uid="{17F92DC4-9371-417D-9864-7E1BD8B9104F}">
      <formula1>"정규직,계약직,아르바이트"</formula1>
    </dataValidation>
    <dataValidation type="list" allowBlank="1" showInputMessage="1" showErrorMessage="1" sqref="S13" xr:uid="{7A630507-DDA4-4B68-8825-32ED8FC19389}">
      <formula1>"신입, 경력"</formula1>
    </dataValidation>
    <dataValidation type="list" allowBlank="1" showInputMessage="1" showErrorMessage="1" sqref="S11" xr:uid="{E45C9778-2EEF-4E59-B581-946B8A416274}">
      <formula1>"분기, 긴급"</formula1>
    </dataValidation>
    <dataValidation type="list" allowBlank="1" showInputMessage="1" showErrorMessage="1" sqref="F12:G12" xr:uid="{5DDB8724-7676-4474-AE85-003AB56CE4AD}">
      <formula1>"솔루션그룹, 컨설팅그룹, BIM그룹"</formula1>
    </dataValidation>
    <dataValidation type="list" allowBlank="1" showInputMessage="1" showErrorMessage="1" sqref="I12:J12" xr:uid="{47661889-1E93-42F8-BF45-618D7FF1870E}">
      <formula1>"솔루션영업팀, TS팀, CS팀, DT영업팀, 컨설팅팀, 마케팅팀, BIM1팀, FAB1팀, FAB2팀, FAB3팀, FAB4팀"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729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0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1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2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3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4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5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6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431C-4FB2-4762-9916-B586133A1BA5}">
  <sheetPr>
    <tabColor theme="5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99</v>
      </c>
      <c r="G12" s="175"/>
      <c r="H12" s="3" t="s">
        <v>67</v>
      </c>
      <c r="I12" s="175" t="s">
        <v>102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57</v>
      </c>
      <c r="D20" s="2" t="s">
        <v>89</v>
      </c>
      <c r="E20" s="190">
        <v>5</v>
      </c>
      <c r="F20" s="191"/>
      <c r="G20" s="192">
        <v>0</v>
      </c>
      <c r="H20" s="193"/>
      <c r="I20" s="19"/>
      <c r="J20" s="20"/>
      <c r="K20" s="21"/>
      <c r="L20" s="22"/>
      <c r="M20" s="23"/>
      <c r="N20" s="24"/>
      <c r="O20" s="22"/>
      <c r="P20" s="23"/>
      <c r="Q20" s="21"/>
      <c r="R20" s="22"/>
      <c r="S20" s="23"/>
      <c r="T20" s="24"/>
      <c r="U20" s="208">
        <f t="shared" ref="U20" si="0">SUM(I20:T20)</f>
        <v>0</v>
      </c>
      <c r="V20" s="209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5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I12:J12" xr:uid="{063E18EF-FEF8-4D6C-8316-11FF7249B574}">
      <formula1>"솔루션영업팀, TS팀, CS팀, DT영업팀, 컨설팅팀, 마케팅팀, BIM1팀, FAB1팀, FAB2팀, FAB3팀, FAB4팀"</formula1>
    </dataValidation>
    <dataValidation type="list" allowBlank="1" showInputMessage="1" showErrorMessage="1" sqref="F12:G12" xr:uid="{4995CF8F-9008-495F-8183-7E3F6293BE2A}">
      <formula1>"솔루션그룹, 컨설팅그룹, BIM그룹"</formula1>
    </dataValidation>
    <dataValidation type="list" allowBlank="1" showInputMessage="1" showErrorMessage="1" sqref="S11" xr:uid="{284D366B-637F-4BBD-81E7-5BDBD9F41FCA}">
      <formula1>"분기, 긴급"</formula1>
    </dataValidation>
    <dataValidation type="list" allowBlank="1" showInputMessage="1" showErrorMessage="1" sqref="S13" xr:uid="{33D30E49-60EB-4B81-B929-7BECB33A7793}">
      <formula1>"신입, 경력"</formula1>
    </dataValidation>
    <dataValidation type="list" allowBlank="1" showInputMessage="1" showErrorMessage="1" sqref="U13" xr:uid="{3B1216E7-77EC-4F69-863D-88DC71695C54}">
      <formula1>"정규직,계약직,아르바이트"</formula1>
    </dataValidation>
    <dataValidation type="list" allowBlank="1" showInputMessage="1" showErrorMessage="1" sqref="K12:L12" xr:uid="{E9AB8AE3-73B4-4805-B4BC-EB967E8DEFFD}">
      <formula1>"경영지원팀, HR팀, 시스템 운영팀"</formula1>
    </dataValidation>
    <dataValidation type="list" allowBlank="1" showInputMessage="1" showErrorMessage="1" sqref="E25" xr:uid="{9B446567-1292-4878-8538-718DB0289B42}">
      <formula1>"기존 사업 확대, 프로젝트 확대, 직무 확대, 신사업을 위한 인원충원, 기존 인원 퇴사 및 휴직"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3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4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6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7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8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9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60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6FE0-A7F0-4D8C-B269-3743C5A89EA0}">
  <sheetPr>
    <tabColor theme="5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99</v>
      </c>
      <c r="G12" s="175"/>
      <c r="H12" s="3" t="s">
        <v>67</v>
      </c>
      <c r="I12" s="175" t="s">
        <v>104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57</v>
      </c>
      <c r="D20" s="2" t="s">
        <v>90</v>
      </c>
      <c r="E20" s="190">
        <v>11</v>
      </c>
      <c r="F20" s="191"/>
      <c r="G20" s="192">
        <v>0</v>
      </c>
      <c r="H20" s="193"/>
      <c r="I20" s="19"/>
      <c r="J20" s="20"/>
      <c r="K20" s="21"/>
      <c r="L20" s="22"/>
      <c r="M20" s="23"/>
      <c r="N20" s="24"/>
      <c r="O20" s="22"/>
      <c r="P20" s="23"/>
      <c r="Q20" s="21"/>
      <c r="R20" s="22"/>
      <c r="S20" s="23"/>
      <c r="T20" s="24"/>
      <c r="U20" s="208">
        <f t="shared" ref="U20" si="0">SUM(I20:T20)</f>
        <v>0</v>
      </c>
      <c r="V20" s="209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11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E25" xr:uid="{6891AA51-A820-4D59-A537-2A7FA3FD5190}">
      <formula1>"기존 사업 확대, 프로젝트 확대, 직무 확대, 신사업을 위한 인원충원, 기존 인원 퇴사 및 휴직"</formula1>
    </dataValidation>
    <dataValidation type="list" allowBlank="1" showInputMessage="1" showErrorMessage="1" sqref="K12:L12" xr:uid="{13C8F9E4-5090-4832-90C2-4381C55EDEF4}">
      <formula1>"경영지원팀, HR팀, 시스템 운영팀"</formula1>
    </dataValidation>
    <dataValidation type="list" allowBlank="1" showInputMessage="1" showErrorMessage="1" sqref="U13" xr:uid="{97435DB2-E2C5-4AE7-80E2-44306F6D0EB5}">
      <formula1>"정규직,계약직,아르바이트"</formula1>
    </dataValidation>
    <dataValidation type="list" allowBlank="1" showInputMessage="1" showErrorMessage="1" sqref="S13" xr:uid="{A934DEA6-ED3C-4C76-8A7C-092C070838AB}">
      <formula1>"신입, 경력"</formula1>
    </dataValidation>
    <dataValidation type="list" allowBlank="1" showInputMessage="1" showErrorMessage="1" sqref="S11" xr:uid="{24A32AC1-014A-4A26-837D-63890CF8601D}">
      <formula1>"분기, 긴급"</formula1>
    </dataValidation>
    <dataValidation type="list" allowBlank="1" showInputMessage="1" showErrorMessage="1" sqref="F12:G12" xr:uid="{23C2254D-4CFF-4C31-9C9F-0063FF1D7017}">
      <formula1>"솔루션그룹, 컨설팅그룹, BIM그룹"</formula1>
    </dataValidation>
    <dataValidation type="list" allowBlank="1" showInputMessage="1" showErrorMessage="1" sqref="I12:J12" xr:uid="{06638E99-9DF0-4407-A142-8F4C71C29C33}">
      <formula1>"솔루션영업팀, TS팀, CS팀, DT영업팀, 컨설팅팀, 마케팅팀, BIM1팀, FAB1팀, FAB2팀, FAB3팀, FAB4팀"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777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78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79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80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81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82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83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84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3025-8CE5-49EC-9A7C-4A43E7B51A20}">
  <sheetPr>
    <tabColor theme="5" tint="0.79998168889431442"/>
    <pageSetUpPr fitToPage="1"/>
  </sheetPr>
  <dimension ref="A1:X59"/>
  <sheetViews>
    <sheetView view="pageBreakPreview" zoomScale="85" zoomScaleNormal="85" zoomScaleSheetLayoutView="85" workbookViewId="0">
      <selection activeCell="D12" sqref="D12:J12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54" t="s">
        <v>83</v>
      </c>
      <c r="E12" s="49" t="s">
        <v>67</v>
      </c>
      <c r="F12" s="175" t="s">
        <v>99</v>
      </c>
      <c r="G12" s="175"/>
      <c r="H12" s="3" t="s">
        <v>67</v>
      </c>
      <c r="I12" s="175" t="s">
        <v>110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46022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45" t="s">
        <v>57</v>
      </c>
      <c r="D20" s="2" t="s">
        <v>91</v>
      </c>
      <c r="E20" s="194">
        <v>10</v>
      </c>
      <c r="F20" s="195"/>
      <c r="G20" s="196">
        <v>0</v>
      </c>
      <c r="H20" s="197"/>
      <c r="I20" s="25"/>
      <c r="J20" s="26"/>
      <c r="K20" s="27"/>
      <c r="L20" s="28"/>
      <c r="M20" s="26"/>
      <c r="N20" s="29"/>
      <c r="O20" s="28"/>
      <c r="P20" s="26"/>
      <c r="Q20" s="27"/>
      <c r="R20" s="28"/>
      <c r="S20" s="26"/>
      <c r="T20" s="29"/>
      <c r="U20" s="198">
        <f t="shared" ref="U20" si="0">SUM(I20:T20)</f>
        <v>0</v>
      </c>
      <c r="V20" s="199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10</v>
      </c>
      <c r="F21" s="135"/>
      <c r="G21" s="136">
        <f>SUM(G20:H20)</f>
        <v>0</v>
      </c>
      <c r="H21" s="137"/>
      <c r="I21" s="30">
        <f t="shared" ref="I21:T21" si="1">SUM(I20:I20)</f>
        <v>0</v>
      </c>
      <c r="J21" s="50">
        <f t="shared" si="1"/>
        <v>0</v>
      </c>
      <c r="K21" s="51">
        <f t="shared" si="1"/>
        <v>0</v>
      </c>
      <c r="L21" s="32">
        <f t="shared" si="1"/>
        <v>0</v>
      </c>
      <c r="M21" s="31">
        <f t="shared" si="1"/>
        <v>0</v>
      </c>
      <c r="N21" s="50">
        <f t="shared" si="1"/>
        <v>0</v>
      </c>
      <c r="O21" s="52">
        <f t="shared" si="1"/>
        <v>0</v>
      </c>
      <c r="P21" s="50">
        <f t="shared" si="1"/>
        <v>0</v>
      </c>
      <c r="Q21" s="50">
        <f t="shared" si="1"/>
        <v>0</v>
      </c>
      <c r="R21" s="52">
        <f t="shared" si="1"/>
        <v>0</v>
      </c>
      <c r="S21" s="32">
        <f t="shared" si="1"/>
        <v>0</v>
      </c>
      <c r="T21" s="31">
        <f t="shared" si="1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F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7">
    <dataValidation type="list" allowBlank="1" showInputMessage="1" showErrorMessage="1" sqref="I12:J12" xr:uid="{8485F55C-0195-4090-9E2E-18A2922E1337}">
      <formula1>"솔루션영업팀, TS팀, CS팀, DT영업팀, 컨설팅팀, 마케팅팀, BIM1팀, FAB1팀, FAB2팀, FAB3팀, FAB4팀"</formula1>
    </dataValidation>
    <dataValidation type="list" allowBlank="1" showInputMessage="1" showErrorMessage="1" sqref="F12:G12" xr:uid="{38C1B78F-CE4B-4230-A185-4FE6A34CAEC8}">
      <formula1>"솔루션그룹, 컨설팅그룹, BIM그룹"</formula1>
    </dataValidation>
    <dataValidation type="list" allowBlank="1" showInputMessage="1" showErrorMessage="1" sqref="S11" xr:uid="{01DBEE01-C009-4B26-9BE6-F0E85F980C3C}">
      <formula1>"분기, 긴급"</formula1>
    </dataValidation>
    <dataValidation type="list" allowBlank="1" showInputMessage="1" showErrorMessage="1" sqref="S13" xr:uid="{A5EECD33-3C4E-4F84-BA27-ECEDC584F3AD}">
      <formula1>"신입, 경력"</formula1>
    </dataValidation>
    <dataValidation type="list" allowBlank="1" showInputMessage="1" showErrorMessage="1" sqref="U13" xr:uid="{869A9FFE-448D-4E68-8479-264D06541C40}">
      <formula1>"정규직,계약직,아르바이트"</formula1>
    </dataValidation>
    <dataValidation type="list" allowBlank="1" showInputMessage="1" showErrorMessage="1" sqref="K12:L12" xr:uid="{9B2F85AE-168D-44E2-A8F7-1944099F308A}">
      <formula1>"경영지원팀, HR팀, 시스템 운영팀"</formula1>
    </dataValidation>
    <dataValidation type="list" allowBlank="1" showInputMessage="1" showErrorMessage="1" sqref="E25" xr:uid="{539A0CBE-CDC8-40B0-B9EA-85C99BA8511B}">
      <formula1>"기존 사업 확대, 프로젝트 확대, 직무 확대, 신사업을 위한 인원충원, 기존 인원 퇴사 및 휴직"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6801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2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3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4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5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6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7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8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B76F-24A1-4A2A-8B0A-4289D2340330}">
  <sheetPr>
    <tabColor theme="4" tint="0.79998168889431442"/>
    <pageSetUpPr fitToPage="1"/>
  </sheetPr>
  <dimension ref="A1:X59"/>
  <sheetViews>
    <sheetView view="pageBreakPreview" zoomScale="85" zoomScaleNormal="85" zoomScaleSheetLayoutView="85" workbookViewId="0">
      <selection activeCell="AA26" sqref="AA26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210" t="s">
        <v>58</v>
      </c>
      <c r="E12" s="211"/>
      <c r="F12" s="211"/>
      <c r="G12" s="211"/>
      <c r="H12" s="3" t="s">
        <v>67</v>
      </c>
      <c r="I12" s="175" t="s">
        <v>105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45657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61" t="s">
        <v>58</v>
      </c>
      <c r="D20" s="47" t="s">
        <v>94</v>
      </c>
      <c r="E20" s="126">
        <v>2</v>
      </c>
      <c r="F20" s="127"/>
      <c r="G20" s="128">
        <v>0</v>
      </c>
      <c r="H20" s="129"/>
      <c r="I20" s="14"/>
      <c r="J20" s="15"/>
      <c r="K20" s="16"/>
      <c r="L20" s="17"/>
      <c r="M20" s="15"/>
      <c r="N20" s="16"/>
      <c r="O20" s="18"/>
      <c r="P20" s="15"/>
      <c r="Q20" s="16"/>
      <c r="R20" s="17"/>
      <c r="S20" s="15"/>
      <c r="T20" s="16"/>
      <c r="U20" s="130">
        <f>SUM(I20:T20)</f>
        <v>0</v>
      </c>
      <c r="V20" s="131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2</v>
      </c>
      <c r="F21" s="135"/>
      <c r="G21" s="136">
        <f>SUM(G20:H20)</f>
        <v>0</v>
      </c>
      <c r="H21" s="137"/>
      <c r="I21" s="30">
        <f t="shared" ref="I21:T21" si="0">SUM(I20:I20)</f>
        <v>0</v>
      </c>
      <c r="J21" s="50">
        <f t="shared" si="0"/>
        <v>0</v>
      </c>
      <c r="K21" s="51">
        <f t="shared" si="0"/>
        <v>0</v>
      </c>
      <c r="L21" s="32">
        <f t="shared" si="0"/>
        <v>0</v>
      </c>
      <c r="M21" s="31">
        <f t="shared" si="0"/>
        <v>0</v>
      </c>
      <c r="N21" s="50">
        <f t="shared" si="0"/>
        <v>0</v>
      </c>
      <c r="O21" s="52">
        <f t="shared" si="0"/>
        <v>0</v>
      </c>
      <c r="P21" s="50">
        <f t="shared" si="0"/>
        <v>0</v>
      </c>
      <c r="Q21" s="50">
        <f t="shared" si="0"/>
        <v>0</v>
      </c>
      <c r="R21" s="52">
        <f t="shared" si="0"/>
        <v>0</v>
      </c>
      <c r="S21" s="32">
        <f t="shared" si="0"/>
        <v>0</v>
      </c>
      <c r="T21" s="31">
        <f t="shared" si="0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D12:G12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6">
    <dataValidation type="list" allowBlank="1" showInputMessage="1" showErrorMessage="1" sqref="E25" xr:uid="{07CF1D19-2C47-4C11-90B1-18ADCDB63CFB}">
      <formula1>"기존 사업 확대, 프로젝트 확대, 직무 확대, 신사업을 위한 인원충원, 기존 인원 퇴사 및 휴직"</formula1>
    </dataValidation>
    <dataValidation type="list" allowBlank="1" showInputMessage="1" showErrorMessage="1" sqref="K12:L12" xr:uid="{FEA944D7-9EFE-4405-A954-712F55056BB1}">
      <formula1>"경영지원팀, HR팀, 시스템 운영팀"</formula1>
    </dataValidation>
    <dataValidation type="list" allowBlank="1" showInputMessage="1" showErrorMessage="1" sqref="U13" xr:uid="{950A3C6B-2438-451F-A4EF-55B64762D5AC}">
      <formula1>"정규직,계약직,아르바이트"</formula1>
    </dataValidation>
    <dataValidation type="list" allowBlank="1" showInputMessage="1" showErrorMessage="1" sqref="S13" xr:uid="{4F025CAB-30C3-4CFE-BCF4-E0B5DFE65055}">
      <formula1>"신입, 경력"</formula1>
    </dataValidation>
    <dataValidation type="list" allowBlank="1" showInputMessage="1" showErrorMessage="1" sqref="S11" xr:uid="{A5C9991F-4EA6-472E-AB67-9C83CBCB306F}">
      <formula1>"분기, 긴급"</formula1>
    </dataValidation>
    <dataValidation type="list" allowBlank="1" showInputMessage="1" showErrorMessage="1" sqref="I12:J12" xr:uid="{1105B9B6-A3A9-4C43-8AE8-7697E10FD350}">
      <formula1>"개발기획팀, 기술연구소"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7825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6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7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8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9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30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31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32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178F-9657-4615-A6BF-12CBA0B0FF7A}">
  <sheetPr>
    <tabColor theme="4" tint="0.79998168889431442"/>
    <pageSetUpPr fitToPage="1"/>
  </sheetPr>
  <dimension ref="A1:X59"/>
  <sheetViews>
    <sheetView view="pageBreakPreview" zoomScale="85" zoomScaleNormal="85" zoomScaleSheetLayoutView="85" workbookViewId="0">
      <selection activeCell="AF27" sqref="AF27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23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31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210" t="s">
        <v>58</v>
      </c>
      <c r="E12" s="211"/>
      <c r="F12" s="211"/>
      <c r="G12" s="211"/>
      <c r="H12" s="3" t="s">
        <v>67</v>
      </c>
      <c r="I12" s="175" t="s">
        <v>106</v>
      </c>
      <c r="J12" s="176"/>
      <c r="K12" s="177" t="s">
        <v>8</v>
      </c>
      <c r="L12" s="178"/>
      <c r="M12" s="179">
        <f ca="1">TODAY()</f>
        <v>45715</v>
      </c>
      <c r="N12" s="179"/>
      <c r="O12" s="179"/>
      <c r="P12" s="179"/>
      <c r="Q12" s="177" t="s">
        <v>68</v>
      </c>
      <c r="R12" s="178"/>
      <c r="S12" s="180">
        <v>45657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7</v>
      </c>
      <c r="D13" s="180" t="s">
        <v>70</v>
      </c>
      <c r="E13" s="181"/>
      <c r="F13" s="181"/>
      <c r="G13" s="181"/>
      <c r="H13" s="181"/>
      <c r="I13" s="181"/>
      <c r="J13" s="182"/>
      <c r="K13" s="183" t="s">
        <v>32</v>
      </c>
      <c r="L13" s="183"/>
      <c r="M13" s="184">
        <v>1</v>
      </c>
      <c r="N13" s="184"/>
      <c r="O13" s="184"/>
      <c r="P13" s="184"/>
      <c r="Q13" s="185" t="s">
        <v>44</v>
      </c>
      <c r="R13" s="185"/>
      <c r="S13" s="173" t="s">
        <v>2</v>
      </c>
      <c r="T13" s="174"/>
      <c r="U13" s="173" t="s">
        <v>3</v>
      </c>
      <c r="V13" s="174"/>
      <c r="W13" s="5"/>
      <c r="X13" s="5"/>
    </row>
    <row r="14" spans="1:24" ht="15" customHeight="1">
      <c r="A14" s="5"/>
      <c r="B14" s="5"/>
      <c r="C14" s="84" t="s">
        <v>59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5"/>
      <c r="X14" s="5"/>
    </row>
    <row r="15" spans="1:24" ht="15" customHeight="1">
      <c r="A15" s="5"/>
      <c r="B15" s="5"/>
      <c r="C15" s="140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2"/>
      <c r="W15" s="5"/>
      <c r="X15" s="5"/>
    </row>
    <row r="16" spans="1:24" s="9" customFormat="1" ht="12.75" customHeight="1" thickBot="1">
      <c r="A16" s="8"/>
      <c r="B16" s="8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8"/>
      <c r="X16" s="8"/>
    </row>
    <row r="17" spans="1:24" s="9" customFormat="1" ht="15" customHeight="1">
      <c r="A17" s="8"/>
      <c r="B17" s="8"/>
      <c r="C17" s="146" t="s">
        <v>84</v>
      </c>
      <c r="D17" s="147"/>
      <c r="E17" s="150" t="s">
        <v>75</v>
      </c>
      <c r="F17" s="151"/>
      <c r="G17" s="151"/>
      <c r="H17" s="152"/>
      <c r="I17" s="153" t="s">
        <v>74</v>
      </c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  <c r="W17" s="8"/>
      <c r="X17" s="8"/>
    </row>
    <row r="18" spans="1:24" s="9" customFormat="1" ht="15" customHeight="1">
      <c r="A18" s="8"/>
      <c r="B18" s="8"/>
      <c r="C18" s="148"/>
      <c r="D18" s="149"/>
      <c r="E18" s="156" t="s">
        <v>76</v>
      </c>
      <c r="F18" s="157"/>
      <c r="G18" s="160" t="s">
        <v>82</v>
      </c>
      <c r="H18" s="161"/>
      <c r="I18" s="164" t="s">
        <v>24</v>
      </c>
      <c r="J18" s="165"/>
      <c r="K18" s="165"/>
      <c r="L18" s="165" t="s">
        <v>25</v>
      </c>
      <c r="M18" s="165"/>
      <c r="N18" s="165"/>
      <c r="O18" s="165" t="s">
        <v>26</v>
      </c>
      <c r="P18" s="165"/>
      <c r="Q18" s="165"/>
      <c r="R18" s="166" t="s">
        <v>27</v>
      </c>
      <c r="S18" s="167"/>
      <c r="T18" s="168"/>
      <c r="U18" s="169" t="s">
        <v>73</v>
      </c>
      <c r="V18" s="170"/>
      <c r="W18" s="8"/>
      <c r="X18" s="8"/>
    </row>
    <row r="19" spans="1:24" s="9" customFormat="1" ht="15" customHeight="1">
      <c r="A19" s="8"/>
      <c r="B19" s="8"/>
      <c r="C19" s="148"/>
      <c r="D19" s="149"/>
      <c r="E19" s="158"/>
      <c r="F19" s="159"/>
      <c r="G19" s="162"/>
      <c r="H19" s="163"/>
      <c r="I19" s="10">
        <v>1</v>
      </c>
      <c r="J19" s="11">
        <v>2</v>
      </c>
      <c r="K19" s="12">
        <v>3</v>
      </c>
      <c r="L19" s="13">
        <v>4</v>
      </c>
      <c r="M19" s="11">
        <v>5</v>
      </c>
      <c r="N19" s="12">
        <v>6</v>
      </c>
      <c r="O19" s="13">
        <v>7</v>
      </c>
      <c r="P19" s="11">
        <v>8</v>
      </c>
      <c r="Q19" s="12">
        <v>9</v>
      </c>
      <c r="R19" s="13">
        <v>10</v>
      </c>
      <c r="S19" s="11">
        <v>11</v>
      </c>
      <c r="T19" s="12">
        <v>12</v>
      </c>
      <c r="U19" s="171"/>
      <c r="V19" s="172"/>
      <c r="W19" s="8"/>
      <c r="X19" s="8"/>
    </row>
    <row r="20" spans="1:24" s="9" customFormat="1" ht="15" customHeight="1">
      <c r="A20" s="8"/>
      <c r="B20" s="8"/>
      <c r="C20" s="62" t="s">
        <v>58</v>
      </c>
      <c r="D20" s="47" t="s">
        <v>72</v>
      </c>
      <c r="E20" s="126">
        <v>5</v>
      </c>
      <c r="F20" s="127"/>
      <c r="G20" s="128">
        <v>0</v>
      </c>
      <c r="H20" s="129"/>
      <c r="I20" s="14"/>
      <c r="J20" s="15"/>
      <c r="K20" s="16"/>
      <c r="L20" s="17"/>
      <c r="M20" s="15"/>
      <c r="N20" s="16"/>
      <c r="O20" s="18"/>
      <c r="P20" s="15"/>
      <c r="Q20" s="16"/>
      <c r="R20" s="17"/>
      <c r="S20" s="15"/>
      <c r="T20" s="16"/>
      <c r="U20" s="200">
        <f>SUM(I20:T20)</f>
        <v>0</v>
      </c>
      <c r="V20" s="201"/>
      <c r="W20" s="8"/>
      <c r="X20" s="8"/>
    </row>
    <row r="21" spans="1:24" s="9" customFormat="1" ht="15" customHeight="1" thickBot="1">
      <c r="A21" s="8"/>
      <c r="B21" s="8"/>
      <c r="C21" s="132" t="s">
        <v>30</v>
      </c>
      <c r="D21" s="133"/>
      <c r="E21" s="134">
        <f>SUM(E20:F20)</f>
        <v>5</v>
      </c>
      <c r="F21" s="135"/>
      <c r="G21" s="136">
        <f>SUM(G20:H20)</f>
        <v>0</v>
      </c>
      <c r="H21" s="137"/>
      <c r="I21" s="30">
        <f t="shared" ref="I21:T21" si="0">SUM(I20:I20)</f>
        <v>0</v>
      </c>
      <c r="J21" s="50">
        <f t="shared" si="0"/>
        <v>0</v>
      </c>
      <c r="K21" s="51">
        <f t="shared" si="0"/>
        <v>0</v>
      </c>
      <c r="L21" s="32">
        <f t="shared" si="0"/>
        <v>0</v>
      </c>
      <c r="M21" s="31">
        <f t="shared" si="0"/>
        <v>0</v>
      </c>
      <c r="N21" s="50">
        <f t="shared" si="0"/>
        <v>0</v>
      </c>
      <c r="O21" s="52">
        <f t="shared" si="0"/>
        <v>0</v>
      </c>
      <c r="P21" s="50">
        <f t="shared" si="0"/>
        <v>0</v>
      </c>
      <c r="Q21" s="50">
        <f t="shared" si="0"/>
        <v>0</v>
      </c>
      <c r="R21" s="52">
        <f t="shared" si="0"/>
        <v>0</v>
      </c>
      <c r="S21" s="32">
        <f t="shared" si="0"/>
        <v>0</v>
      </c>
      <c r="T21" s="31">
        <f t="shared" si="0"/>
        <v>0</v>
      </c>
      <c r="U21" s="138">
        <f>SUM(U20:V20)</f>
        <v>0</v>
      </c>
      <c r="V21" s="139"/>
      <c r="W21" s="8"/>
      <c r="X21" s="8"/>
    </row>
    <row r="22" spans="1:24" ht="20.100000000000001" customHeight="1">
      <c r="A22" s="5"/>
      <c r="B22" s="5"/>
      <c r="C22" s="112" t="s">
        <v>81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5"/>
      <c r="X22" s="5"/>
    </row>
    <row r="23" spans="1:24" ht="33" customHeight="1">
      <c r="A23" s="5"/>
      <c r="B23" s="5"/>
      <c r="C23" s="115" t="s">
        <v>5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5"/>
      <c r="X23" s="5"/>
    </row>
    <row r="24" spans="1:24" ht="33" customHeight="1">
      <c r="A24" s="5"/>
      <c r="B24" s="5"/>
      <c r="C24" s="107" t="s">
        <v>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5"/>
      <c r="X24" s="5"/>
    </row>
    <row r="25" spans="1:24">
      <c r="A25" s="5"/>
      <c r="B25" s="5"/>
      <c r="C25" s="84" t="s">
        <v>33</v>
      </c>
      <c r="D25" s="85"/>
      <c r="E25" s="124" t="s">
        <v>50</v>
      </c>
      <c r="F25" s="124"/>
      <c r="G25" s="124"/>
      <c r="H25" s="124"/>
      <c r="I25" s="124"/>
      <c r="J25" s="124"/>
      <c r="K25" s="12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5"/>
      <c r="X25" s="5"/>
    </row>
    <row r="26" spans="1:24">
      <c r="A26" s="5"/>
      <c r="B26" s="5"/>
      <c r="C26" s="87"/>
      <c r="D26" s="88"/>
      <c r="E26" s="125"/>
      <c r="F26" s="125"/>
      <c r="G26" s="125"/>
      <c r="H26" s="125"/>
      <c r="I26" s="125"/>
      <c r="J26" s="125"/>
      <c r="K26" s="12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5"/>
      <c r="X26" s="5"/>
    </row>
    <row r="27" spans="1:24">
      <c r="A27" s="5"/>
      <c r="B27" s="5"/>
      <c r="C27" s="75" t="s">
        <v>34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5"/>
      <c r="X27" s="5"/>
    </row>
    <row r="28" spans="1:24">
      <c r="A28" s="5"/>
      <c r="B28" s="5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20"/>
      <c r="W28" s="5"/>
      <c r="X28" s="5"/>
    </row>
    <row r="29" spans="1:24">
      <c r="A29" s="5"/>
      <c r="B29" s="5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20"/>
      <c r="W29" s="5"/>
      <c r="X29" s="5"/>
    </row>
    <row r="30" spans="1:24">
      <c r="A30" s="5"/>
      <c r="B30" s="5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20"/>
      <c r="W30" s="5"/>
      <c r="X30" s="5"/>
    </row>
    <row r="31" spans="1:24">
      <c r="A31" s="5"/>
      <c r="B31" s="5"/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3"/>
      <c r="W31" s="5"/>
      <c r="X31" s="5"/>
    </row>
    <row r="32" spans="1:24">
      <c r="A32" s="5"/>
      <c r="B32" s="5"/>
      <c r="C32" s="84" t="s">
        <v>35</v>
      </c>
      <c r="D32" s="85"/>
      <c r="E32" s="85"/>
      <c r="F32" s="85"/>
      <c r="G32" s="85"/>
      <c r="H32" s="85"/>
      <c r="I32" s="85"/>
      <c r="J32" s="85"/>
      <c r="K32" s="86"/>
      <c r="L32" s="85" t="s">
        <v>36</v>
      </c>
      <c r="M32" s="85"/>
      <c r="N32" s="85"/>
      <c r="O32" s="85"/>
      <c r="P32" s="85"/>
      <c r="Q32" s="85"/>
      <c r="R32" s="85"/>
      <c r="S32" s="85"/>
      <c r="T32" s="85"/>
      <c r="U32" s="85"/>
      <c r="V32" s="86"/>
      <c r="W32" s="66"/>
      <c r="X32" s="5"/>
    </row>
    <row r="33" spans="1:24">
      <c r="A33" s="5"/>
      <c r="B33" s="5"/>
      <c r="C33" s="87"/>
      <c r="D33" s="88"/>
      <c r="E33" s="88"/>
      <c r="F33" s="88"/>
      <c r="G33" s="88"/>
      <c r="H33" s="88"/>
      <c r="I33" s="88"/>
      <c r="J33" s="88"/>
      <c r="K33" s="89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66"/>
      <c r="X33" s="5"/>
    </row>
    <row r="34" spans="1:24" ht="16.5" customHeight="1">
      <c r="A34" s="5"/>
      <c r="B34" s="5"/>
      <c r="C34" s="75" t="s">
        <v>107</v>
      </c>
      <c r="D34" s="76"/>
      <c r="E34" s="76"/>
      <c r="F34" s="76"/>
      <c r="G34" s="76"/>
      <c r="H34" s="76"/>
      <c r="I34" s="76"/>
      <c r="J34" s="76"/>
      <c r="K34" s="77"/>
      <c r="L34" s="75" t="s">
        <v>37</v>
      </c>
      <c r="M34" s="76"/>
      <c r="N34" s="76"/>
      <c r="O34" s="76"/>
      <c r="P34" s="76"/>
      <c r="Q34" s="76"/>
      <c r="R34" s="76"/>
      <c r="S34" s="76"/>
      <c r="T34" s="76"/>
      <c r="U34" s="76"/>
      <c r="V34" s="77"/>
      <c r="W34" s="66"/>
      <c r="X34" s="5"/>
    </row>
    <row r="35" spans="1:24">
      <c r="A35" s="5"/>
      <c r="B35" s="5"/>
      <c r="C35" s="81"/>
      <c r="D35" s="82"/>
      <c r="E35" s="82"/>
      <c r="F35" s="82"/>
      <c r="G35" s="82"/>
      <c r="H35" s="82"/>
      <c r="I35" s="82"/>
      <c r="J35" s="82"/>
      <c r="K35" s="83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66"/>
      <c r="X35" s="5"/>
    </row>
    <row r="36" spans="1:24">
      <c r="A36" s="5"/>
      <c r="B36" s="5"/>
      <c r="C36" s="81"/>
      <c r="D36" s="82"/>
      <c r="E36" s="82"/>
      <c r="F36" s="82"/>
      <c r="G36" s="82"/>
      <c r="H36" s="82"/>
      <c r="I36" s="82"/>
      <c r="J36" s="82"/>
      <c r="K36" s="83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66"/>
      <c r="X36" s="5"/>
    </row>
    <row r="37" spans="1:24">
      <c r="A37" s="5"/>
      <c r="B37" s="5"/>
      <c r="C37" s="81"/>
      <c r="D37" s="82"/>
      <c r="E37" s="82"/>
      <c r="F37" s="82"/>
      <c r="G37" s="82"/>
      <c r="H37" s="82"/>
      <c r="I37" s="82"/>
      <c r="J37" s="82"/>
      <c r="K37" s="83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66"/>
      <c r="X37" s="5"/>
    </row>
    <row r="38" spans="1:24">
      <c r="A38" s="5"/>
      <c r="B38" s="5"/>
      <c r="C38" s="78"/>
      <c r="D38" s="79"/>
      <c r="E38" s="79"/>
      <c r="F38" s="79"/>
      <c r="G38" s="79"/>
      <c r="H38" s="79"/>
      <c r="I38" s="79"/>
      <c r="J38" s="79"/>
      <c r="K38" s="80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80"/>
      <c r="W38" s="66"/>
      <c r="X38" s="5"/>
    </row>
    <row r="39" spans="1:24">
      <c r="A39" s="5"/>
      <c r="B39" s="5"/>
      <c r="C39" s="84" t="s">
        <v>69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6"/>
      <c r="W39" s="5"/>
      <c r="X39" s="5"/>
    </row>
    <row r="40" spans="1:24">
      <c r="A40" s="5"/>
      <c r="B40" s="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5"/>
      <c r="X40" s="5"/>
    </row>
    <row r="41" spans="1:24">
      <c r="A41" s="5"/>
      <c r="B41" s="5"/>
      <c r="C41" s="90" t="s">
        <v>77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2"/>
      <c r="W41" s="5"/>
      <c r="X41" s="5"/>
    </row>
    <row r="42" spans="1:24" ht="16.5" customHeight="1">
      <c r="A42" s="5"/>
      <c r="B42" s="5"/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10"/>
      <c r="W42" s="5"/>
      <c r="X42" s="5"/>
    </row>
    <row r="43" spans="1:24" ht="24.95" customHeight="1">
      <c r="A43" s="5"/>
      <c r="B43" s="5"/>
      <c r="C43" s="105" t="s">
        <v>108</v>
      </c>
      <c r="D43" s="111"/>
      <c r="E43" s="105" t="s">
        <v>109</v>
      </c>
      <c r="F43" s="106"/>
      <c r="G43" s="106"/>
      <c r="H43" s="106"/>
      <c r="I43" s="106"/>
      <c r="J43" s="106"/>
      <c r="K43" s="106"/>
      <c r="L43" s="106"/>
      <c r="M43" s="106"/>
      <c r="N43" s="111"/>
      <c r="O43" s="107" t="s">
        <v>18</v>
      </c>
      <c r="P43" s="107"/>
      <c r="Q43" s="107"/>
      <c r="R43" s="107"/>
      <c r="S43" s="107"/>
      <c r="T43" s="107"/>
      <c r="U43" s="107"/>
      <c r="V43" s="107"/>
      <c r="W43" s="5"/>
      <c r="X43" s="5"/>
    </row>
    <row r="44" spans="1:24" ht="24.95" customHeight="1">
      <c r="A44" s="5"/>
      <c r="B44" s="5"/>
      <c r="C44" s="105" t="s">
        <v>19</v>
      </c>
      <c r="D44" s="106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02"/>
      <c r="P44" s="103"/>
      <c r="Q44" s="103"/>
      <c r="R44" s="103"/>
      <c r="S44" s="103"/>
      <c r="T44" s="103"/>
      <c r="U44" s="103"/>
      <c r="V44" s="104"/>
      <c r="W44" s="5"/>
      <c r="X44" s="5"/>
    </row>
    <row r="45" spans="1:24" ht="24.95" customHeight="1">
      <c r="A45" s="5"/>
      <c r="B45" s="5"/>
      <c r="C45" s="105" t="s">
        <v>20</v>
      </c>
      <c r="D45" s="106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2"/>
      <c r="P45" s="103"/>
      <c r="Q45" s="103"/>
      <c r="R45" s="103"/>
      <c r="S45" s="103"/>
      <c r="T45" s="103"/>
      <c r="U45" s="103"/>
      <c r="V45" s="104"/>
      <c r="W45" s="5"/>
      <c r="X45" s="5"/>
    </row>
    <row r="46" spans="1:24" ht="24.95" customHeight="1">
      <c r="A46" s="5"/>
      <c r="B46" s="5"/>
      <c r="C46" s="105" t="s">
        <v>21</v>
      </c>
      <c r="D46" s="106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02"/>
      <c r="P46" s="103"/>
      <c r="Q46" s="103"/>
      <c r="R46" s="103"/>
      <c r="S46" s="103"/>
      <c r="T46" s="103"/>
      <c r="U46" s="103"/>
      <c r="V46" s="104"/>
      <c r="W46" s="5"/>
      <c r="X46" s="5"/>
    </row>
    <row r="47" spans="1:24" ht="24.95" customHeight="1">
      <c r="A47" s="5"/>
      <c r="B47" s="5"/>
      <c r="C47" s="105" t="s">
        <v>22</v>
      </c>
      <c r="D47" s="106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02"/>
      <c r="P47" s="103"/>
      <c r="Q47" s="103"/>
      <c r="R47" s="103"/>
      <c r="S47" s="103"/>
      <c r="T47" s="103"/>
      <c r="U47" s="103"/>
      <c r="V47" s="104"/>
      <c r="W47" s="5"/>
      <c r="X47" s="5"/>
    </row>
    <row r="48" spans="1:24" ht="16.5" customHeight="1">
      <c r="A48" s="5"/>
      <c r="B48" s="5"/>
      <c r="C48" s="84" t="s">
        <v>38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6"/>
      <c r="W48" s="5"/>
      <c r="X48" s="5"/>
    </row>
    <row r="49" spans="1:24" ht="16.5" customHeight="1">
      <c r="A49" s="5"/>
      <c r="B49" s="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5"/>
      <c r="X49" s="5"/>
    </row>
    <row r="50" spans="1:24" ht="16.5" customHeight="1">
      <c r="A50" s="5"/>
      <c r="B50" s="5"/>
      <c r="C50" s="90" t="s">
        <v>78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2"/>
      <c r="W50" s="5"/>
      <c r="X50" s="5"/>
    </row>
    <row r="51" spans="1:24" ht="16.5" customHeight="1">
      <c r="A51" s="5"/>
      <c r="B51" s="5"/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5"/>
      <c r="X51" s="5"/>
    </row>
    <row r="52" spans="1:24" ht="16.5" customHeight="1">
      <c r="A52" s="5"/>
      <c r="B52" s="5"/>
      <c r="C52" s="84" t="s">
        <v>60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6"/>
      <c r="W52" s="5"/>
      <c r="X52" s="5"/>
    </row>
    <row r="53" spans="1:24" ht="16.5" customHeight="1">
      <c r="A53" s="5"/>
      <c r="B53" s="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9"/>
      <c r="W53" s="5"/>
      <c r="X53" s="5"/>
    </row>
    <row r="54" spans="1:24" ht="16.5" customHeight="1">
      <c r="A54" s="5"/>
      <c r="B54" s="5"/>
      <c r="C54" s="96" t="s">
        <v>51</v>
      </c>
      <c r="D54" s="97"/>
      <c r="E54" s="98"/>
      <c r="F54" s="96" t="s">
        <v>52</v>
      </c>
      <c r="G54" s="97"/>
      <c r="H54" s="97"/>
      <c r="I54" s="97"/>
      <c r="J54" s="97"/>
      <c r="K54" s="97"/>
      <c r="L54" s="97"/>
      <c r="M54" s="97"/>
      <c r="N54" s="97"/>
      <c r="O54" s="99" t="s">
        <v>61</v>
      </c>
      <c r="P54" s="100"/>
      <c r="Q54" s="100"/>
      <c r="R54" s="100"/>
      <c r="S54" s="100"/>
      <c r="T54" s="100"/>
      <c r="U54" s="100"/>
      <c r="V54" s="101"/>
      <c r="W54" s="5"/>
      <c r="X54" s="5"/>
    </row>
    <row r="55" spans="1:24" ht="16.5" customHeight="1">
      <c r="A55" s="5"/>
      <c r="B55" s="5"/>
      <c r="C55" s="75" t="s">
        <v>42</v>
      </c>
      <c r="D55" s="76"/>
      <c r="E55" s="77"/>
      <c r="F55" s="75" t="s">
        <v>54</v>
      </c>
      <c r="G55" s="76"/>
      <c r="H55" s="76"/>
      <c r="I55" s="76"/>
      <c r="J55" s="76"/>
      <c r="K55" s="76"/>
      <c r="L55" s="76"/>
      <c r="M55" s="76"/>
      <c r="N55" s="77"/>
      <c r="O55" s="37"/>
      <c r="P55" s="38"/>
      <c r="Q55" s="38"/>
      <c r="R55" s="38"/>
      <c r="S55" s="39"/>
      <c r="T55" s="39"/>
      <c r="U55" s="39"/>
      <c r="V55" s="40"/>
      <c r="W55" s="5"/>
      <c r="X55" s="5"/>
    </row>
    <row r="56" spans="1:24" ht="16.5" customHeight="1">
      <c r="A56" s="5"/>
      <c r="B56" s="5"/>
      <c r="C56" s="78" t="s">
        <v>43</v>
      </c>
      <c r="D56" s="79"/>
      <c r="E56" s="80"/>
      <c r="F56" s="78" t="s">
        <v>53</v>
      </c>
      <c r="G56" s="79"/>
      <c r="H56" s="79"/>
      <c r="I56" s="79"/>
      <c r="J56" s="79"/>
      <c r="K56" s="79"/>
      <c r="L56" s="79"/>
      <c r="M56" s="79"/>
      <c r="N56" s="80"/>
      <c r="O56" s="41"/>
      <c r="P56" s="42"/>
      <c r="Q56" s="42"/>
      <c r="R56" s="42"/>
      <c r="S56" s="43"/>
      <c r="T56" s="43"/>
      <c r="U56" s="43"/>
      <c r="V56" s="44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74">
    <mergeCell ref="M1:N1"/>
    <mergeCell ref="C7:V10"/>
    <mergeCell ref="D11:J11"/>
    <mergeCell ref="K11:L11"/>
    <mergeCell ref="M11:P11"/>
    <mergeCell ref="Q11:R11"/>
    <mergeCell ref="S11:V11"/>
    <mergeCell ref="U13:V13"/>
    <mergeCell ref="D12:G12"/>
    <mergeCell ref="I12:J12"/>
    <mergeCell ref="K12:L12"/>
    <mergeCell ref="M12:P12"/>
    <mergeCell ref="Q12:R12"/>
    <mergeCell ref="S12:V12"/>
    <mergeCell ref="D13:J13"/>
    <mergeCell ref="K13:L13"/>
    <mergeCell ref="M13:P13"/>
    <mergeCell ref="Q13:R13"/>
    <mergeCell ref="S13:T13"/>
    <mergeCell ref="C14:V16"/>
    <mergeCell ref="C17:D19"/>
    <mergeCell ref="E17:H17"/>
    <mergeCell ref="I17:V17"/>
    <mergeCell ref="E18:F19"/>
    <mergeCell ref="G18:H19"/>
    <mergeCell ref="I18:K18"/>
    <mergeCell ref="L18:N18"/>
    <mergeCell ref="O18:Q18"/>
    <mergeCell ref="R18:T18"/>
    <mergeCell ref="U18:V19"/>
    <mergeCell ref="E20:F20"/>
    <mergeCell ref="G20:H20"/>
    <mergeCell ref="U20:V20"/>
    <mergeCell ref="C21:D21"/>
    <mergeCell ref="E21:F21"/>
    <mergeCell ref="G21:H21"/>
    <mergeCell ref="U21:V21"/>
    <mergeCell ref="C41:V42"/>
    <mergeCell ref="C22:V22"/>
    <mergeCell ref="C23:V23"/>
    <mergeCell ref="C24:V24"/>
    <mergeCell ref="C25:D26"/>
    <mergeCell ref="E25:K26"/>
    <mergeCell ref="C27:V31"/>
    <mergeCell ref="C32:K33"/>
    <mergeCell ref="L32:V33"/>
    <mergeCell ref="C34:K38"/>
    <mergeCell ref="L34:V38"/>
    <mergeCell ref="C39:V40"/>
    <mergeCell ref="C43:D43"/>
    <mergeCell ref="E43:N43"/>
    <mergeCell ref="O43:V43"/>
    <mergeCell ref="C44:D44"/>
    <mergeCell ref="E44:N44"/>
    <mergeCell ref="O44:V44"/>
    <mergeCell ref="C45:D45"/>
    <mergeCell ref="E45:N45"/>
    <mergeCell ref="O45:V45"/>
    <mergeCell ref="C46:D46"/>
    <mergeCell ref="E46:N46"/>
    <mergeCell ref="O46:V46"/>
    <mergeCell ref="C56:E56"/>
    <mergeCell ref="F56:N56"/>
    <mergeCell ref="C47:D47"/>
    <mergeCell ref="E47:N47"/>
    <mergeCell ref="O47:V47"/>
    <mergeCell ref="C48:V49"/>
    <mergeCell ref="C50:V51"/>
    <mergeCell ref="C52:V53"/>
    <mergeCell ref="C54:E54"/>
    <mergeCell ref="F54:N54"/>
    <mergeCell ref="O54:V54"/>
    <mergeCell ref="C55:E55"/>
    <mergeCell ref="F55:N55"/>
  </mergeCells>
  <phoneticPr fontId="3" type="noConversion"/>
  <dataValidations count="6">
    <dataValidation type="list" allowBlank="1" showInputMessage="1" showErrorMessage="1" sqref="I12:J12" xr:uid="{11278DE1-643F-49D5-9A87-D8A66C6113E4}">
      <formula1>"개발기획팀, 기술연구소"</formula1>
    </dataValidation>
    <dataValidation type="list" allowBlank="1" showInputMessage="1" showErrorMessage="1" sqref="S11" xr:uid="{400F1CA8-5D76-48BE-AAAA-8BCAA3BF3E64}">
      <formula1>"분기, 긴급"</formula1>
    </dataValidation>
    <dataValidation type="list" allowBlank="1" showInputMessage="1" showErrorMessage="1" sqref="S13" xr:uid="{C359B6A8-20EE-498A-BC23-72EF5B3EEFAA}">
      <formula1>"신입, 경력"</formula1>
    </dataValidation>
    <dataValidation type="list" allowBlank="1" showInputMessage="1" showErrorMessage="1" sqref="U13" xr:uid="{D8AE15C6-D126-4307-AA16-E61D40E4FAA6}">
      <formula1>"정규직,계약직,아르바이트"</formula1>
    </dataValidation>
    <dataValidation type="list" allowBlank="1" showInputMessage="1" showErrorMessage="1" sqref="K12:L12" xr:uid="{385C4276-B8CF-4F51-BF38-AF091358F09B}">
      <formula1>"경영지원팀, HR팀, 시스템 운영팀"</formula1>
    </dataValidation>
    <dataValidation type="list" allowBlank="1" showInputMessage="1" showErrorMessage="1" sqref="E25" xr:uid="{F9D1E0CB-D174-4D21-ADA7-BD59DAAE7333}">
      <formula1>"기존 사업 확대, 프로젝트 확대, 직무 확대, 신사업을 위한 인원충원, 기존 인원 퇴사 및 휴직"</formula1>
    </dataValidation>
  </dataValidations>
  <printOptions horizontalCentered="1" verticalCentered="1"/>
  <pageMargins left="0.25" right="0.25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8849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0" r:id="rId5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1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2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3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171450</xdr:rowOff>
                  </from>
                  <to>
                    <xdr:col>2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4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200025</xdr:rowOff>
                  </from>
                  <to>
                    <xdr:col>2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5" r:id="rId10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171450</xdr:rowOff>
                  </from>
                  <to>
                    <xdr:col>5</xdr:col>
                    <xdr:colOff>371475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6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53</xdr:row>
                    <xdr:rowOff>200025</xdr:rowOff>
                  </from>
                  <to>
                    <xdr:col>5</xdr:col>
                    <xdr:colOff>371475</xdr:colOff>
                    <xdr:row>55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F331-5E02-4BC7-BB3E-4B0027EB085B}">
  <sheetPr>
    <tabColor theme="4" tint="0.79998168889431442"/>
    <pageSetUpPr fitToPage="1"/>
  </sheetPr>
  <dimension ref="A1:X59"/>
  <sheetViews>
    <sheetView view="pageBreakPreview" zoomScale="85" zoomScaleNormal="85" zoomScaleSheetLayoutView="85" workbookViewId="0">
      <selection activeCell="AI23" sqref="AI23"/>
    </sheetView>
  </sheetViews>
  <sheetFormatPr defaultRowHeight="16.5"/>
  <cols>
    <col min="1" max="1" width="2.625" style="6" customWidth="1"/>
    <col min="2" max="2" width="3.375" style="6" customWidth="1"/>
    <col min="3" max="4" width="11.625" style="6" customWidth="1"/>
    <col min="5" max="5" width="2.625" style="6" customWidth="1"/>
    <col min="6" max="7" width="5.625" style="6" customWidth="1"/>
    <col min="8" max="8" width="2.625" style="6" customWidth="1"/>
    <col min="9" max="22" width="5.625" style="6" customWidth="1"/>
    <col min="23" max="23" width="3.375" style="6" customWidth="1"/>
    <col min="24" max="24" width="2.625" style="6" customWidth="1"/>
    <col min="25" max="16384" width="9" style="6"/>
  </cols>
  <sheetData>
    <row r="1" spans="1:24" s="4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6"/>
      <c r="N1" s="186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187" t="s">
        <v>9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5"/>
      <c r="X7" s="5"/>
    </row>
    <row r="8" spans="1:24">
      <c r="A8" s="5"/>
      <c r="B8" s="5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5"/>
      <c r="X8" s="5"/>
    </row>
    <row r="9" spans="1:24">
      <c r="A9" s="5"/>
      <c r="B9" s="5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5"/>
      <c r="X9" s="5"/>
    </row>
    <row r="10" spans="1:24">
      <c r="A10" s="5"/>
      <c r="B10" s="5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5"/>
      <c r="X10" s="5"/>
    </row>
    <row r="11" spans="1:24" ht="24.95" customHeight="1">
      <c r="A11" s="5"/>
      <c r="B11" s="5"/>
      <c r="C11" s="7" t="s">
        <v>0</v>
      </c>
      <c r="D11" s="188" t="s">
        <v>39</v>
      </c>
      <c r="E11" s="188"/>
      <c r="F11" s="188"/>
      <c r="G11" s="188"/>
      <c r="H11" s="188"/>
      <c r="I11" s="188"/>
      <c r="J11" s="188"/>
      <c r="K11" s="177" t="s">
        <v>80</v>
      </c>
      <c r="L11" s="189"/>
      <c r="M11" s="102"/>
      <c r="N11" s="103"/>
      <c r="O11" s="103"/>
      <c r="P11" s="104"/>
      <c r="Q11" s="183" t="s">
        <v>6</v>
      </c>
      <c r="R11" s="183"/>
      <c r="S11" s="188" t="s">
        <v>50</v>
      </c>
      <c r="T11" s="188"/>
      <c r="U11" s="188"/>
      <c r="V11" s="188"/>
      <c r="W11" s="5"/>
      <c r="X11" s="5"/>
    </row>
    <row r="12" spans="1:24" ht="24.95" customHeight="1">
      <c r="A12" s="5"/>
      <c r="B12" s="5"/>
      <c r="C12" s="7" t="s">
        <v>1</v>
      </c>
      <c r="D12" s="65" t="s">
        <v>50</v>
      </c>
      <c r="E12" s="49" t="s">
        <v>67</v>
      </c>
      <c r="F12" s="175" t="s">
        <v>50</v>
      </c>
      <c r="G12" s="175"/>
      <c r="H12" s="64" t="s">
        <v>67</v>
      </c>
      <c r="I12" s="175" t="s">
        <v>50</v>
      </c>
      <c r="J12" s="176"/>
      <c r="K12" s="177" t="s">
        <v>8</v>
      </c>
      <c r="L12" s="189"/>
      <c r="M12" s="179">
        <f ca="1">TODAY()</f>
        <v>45715</v>
      </c>
      <c r="N12" s="179"/>
      <c r="O12" s="179"/>
      <c r="P12" s="179"/>
      <c r="Q12" s="177" t="s">
        <v>40</v>
      </c>
      <c r="R12" s="178"/>
      <c r="S12" s="180">
        <v>45657</v>
      </c>
      <c r="T12" s="181"/>
      <c r="U12" s="181"/>
      <c r="V12" s="182"/>
      <c r="W12" s="5"/>
      <c r="X12" s="5"/>
    </row>
    <row r="13" spans="1:24" ht="24.95" customHeight="1">
      <c r="A13" s="5"/>
      <c r="B13" s="5"/>
      <c r="C13" s="7" t="s">
        <v>16</v>
      </c>
      <c r="D13" s="65" t="s">
        <v>50</v>
      </c>
      <c r="E13" s="49" t="s">
        <v>67</v>
      </c>
      <c r="F13" s="175" t="s">
        <v>50</v>
      </c>
      <c r="G13" s="175"/>
      <c r="H13" s="64" t="s">
        <v>67</v>
      </c>
      <c r="I13" s="175" t="s">
        <v>50</v>
      </c>
      <c r="J13" s="176"/>
      <c r="K13" s="177" t="s">
        <v>41</v>
      </c>
      <c r="L13" s="178"/>
      <c r="M13" s="179" t="s">
        <v>111</v>
      </c>
      <c r="N13" s="179"/>
      <c r="O13" s="179"/>
      <c r="P13" s="179"/>
      <c r="Q13" s="177" t="s">
        <v>44</v>
      </c>
      <c r="R13" s="178"/>
      <c r="S13" s="216" t="s">
        <v>2</v>
      </c>
      <c r="T13" s="217"/>
      <c r="U13" s="216" t="s">
        <v>3</v>
      </c>
      <c r="V13" s="217"/>
      <c r="W13" s="5"/>
      <c r="X13" s="5"/>
    </row>
    <row r="14" spans="1:24" ht="15" customHeight="1">
      <c r="A14" s="5"/>
      <c r="B14" s="5"/>
      <c r="C14" s="218" t="s">
        <v>62</v>
      </c>
      <c r="D14" s="219"/>
      <c r="E14" s="224" t="s">
        <v>95</v>
      </c>
      <c r="F14" s="225"/>
      <c r="G14" s="225"/>
      <c r="H14" s="225"/>
      <c r="I14" s="225"/>
      <c r="J14" s="226"/>
      <c r="K14" s="218" t="s">
        <v>13</v>
      </c>
      <c r="L14" s="219"/>
      <c r="M14" s="233"/>
      <c r="N14" s="235" t="s">
        <v>113</v>
      </c>
      <c r="O14" s="236"/>
      <c r="P14" s="237"/>
      <c r="Q14" s="218" t="s">
        <v>112</v>
      </c>
      <c r="R14" s="233"/>
      <c r="S14" s="224" t="s">
        <v>45</v>
      </c>
      <c r="T14" s="225"/>
      <c r="U14" s="225"/>
      <c r="V14" s="226"/>
      <c r="W14" s="5"/>
      <c r="X14" s="5"/>
    </row>
    <row r="15" spans="1:24" ht="15" customHeight="1">
      <c r="A15" s="5"/>
      <c r="B15" s="5"/>
      <c r="C15" s="220"/>
      <c r="D15" s="221"/>
      <c r="E15" s="227"/>
      <c r="F15" s="228"/>
      <c r="G15" s="228"/>
      <c r="H15" s="228"/>
      <c r="I15" s="228"/>
      <c r="J15" s="229"/>
      <c r="K15" s="222"/>
      <c r="L15" s="223"/>
      <c r="M15" s="234"/>
      <c r="N15" s="238"/>
      <c r="O15" s="239"/>
      <c r="P15" s="240"/>
      <c r="Q15" s="222"/>
      <c r="R15" s="234"/>
      <c r="S15" s="230"/>
      <c r="T15" s="231"/>
      <c r="U15" s="231"/>
      <c r="V15" s="232"/>
      <c r="W15" s="5"/>
      <c r="X15" s="5"/>
    </row>
    <row r="16" spans="1:24" s="9" customFormat="1" ht="12.75" customHeight="1">
      <c r="A16" s="8"/>
      <c r="B16" s="8"/>
      <c r="C16" s="220"/>
      <c r="D16" s="221"/>
      <c r="E16" s="227"/>
      <c r="F16" s="228"/>
      <c r="G16" s="228"/>
      <c r="H16" s="228"/>
      <c r="I16" s="228"/>
      <c r="J16" s="229"/>
      <c r="K16" s="218" t="s">
        <v>14</v>
      </c>
      <c r="L16" s="219"/>
      <c r="M16" s="233"/>
      <c r="N16" s="245" t="s">
        <v>114</v>
      </c>
      <c r="O16" s="246"/>
      <c r="P16" s="246"/>
      <c r="Q16" s="246"/>
      <c r="R16" s="246"/>
      <c r="S16" s="241" t="s">
        <v>17</v>
      </c>
      <c r="T16" s="241"/>
      <c r="U16" s="241"/>
      <c r="V16" s="242"/>
      <c r="W16" s="8"/>
      <c r="X16" s="8"/>
    </row>
    <row r="17" spans="1:24" s="9" customFormat="1" ht="15" customHeight="1">
      <c r="A17" s="8"/>
      <c r="B17" s="8"/>
      <c r="C17" s="222"/>
      <c r="D17" s="223"/>
      <c r="E17" s="230"/>
      <c r="F17" s="231"/>
      <c r="G17" s="231"/>
      <c r="H17" s="231"/>
      <c r="I17" s="231"/>
      <c r="J17" s="232"/>
      <c r="K17" s="222"/>
      <c r="L17" s="223"/>
      <c r="M17" s="234"/>
      <c r="N17" s="247"/>
      <c r="O17" s="248"/>
      <c r="P17" s="248"/>
      <c r="Q17" s="248"/>
      <c r="R17" s="248"/>
      <c r="S17" s="243"/>
      <c r="T17" s="243"/>
      <c r="U17" s="243"/>
      <c r="V17" s="244"/>
      <c r="W17" s="8"/>
      <c r="X17" s="8"/>
    </row>
    <row r="18" spans="1:24" s="9" customFormat="1" ht="15" customHeight="1">
      <c r="A18" s="8"/>
      <c r="B18" s="8"/>
      <c r="C18" s="249" t="s">
        <v>115</v>
      </c>
      <c r="D18" s="250"/>
      <c r="E18" s="253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5"/>
      <c r="W18" s="8"/>
      <c r="X18" s="8"/>
    </row>
    <row r="19" spans="1:24" s="9" customFormat="1" ht="15" customHeight="1">
      <c r="A19" s="8"/>
      <c r="B19" s="8"/>
      <c r="C19" s="251"/>
      <c r="D19" s="252"/>
      <c r="E19" s="256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57"/>
      <c r="W19" s="8"/>
      <c r="X19" s="8"/>
    </row>
    <row r="20" spans="1:24" s="9" customFormat="1" ht="15" customHeight="1">
      <c r="A20" s="8"/>
      <c r="B20" s="8"/>
      <c r="C20" s="249" t="s">
        <v>116</v>
      </c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250"/>
      <c r="W20" s="8"/>
      <c r="X20" s="8"/>
    </row>
    <row r="21" spans="1:24" s="9" customFormat="1" ht="15" customHeight="1">
      <c r="A21" s="8"/>
      <c r="B21" s="8"/>
      <c r="C21" s="25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52"/>
      <c r="W21" s="8"/>
      <c r="X21" s="8"/>
    </row>
    <row r="22" spans="1:24" ht="20.100000000000001" customHeight="1">
      <c r="A22" s="5"/>
      <c r="B22" s="5"/>
      <c r="C22" s="183" t="s">
        <v>10</v>
      </c>
      <c r="D22" s="183"/>
      <c r="E22" s="214" t="s">
        <v>11</v>
      </c>
      <c r="F22" s="214"/>
      <c r="G22" s="214"/>
      <c r="H22" s="214"/>
      <c r="I22" s="214"/>
      <c r="J22" s="214"/>
      <c r="K22" s="214"/>
      <c r="L22" s="214" t="s">
        <v>129</v>
      </c>
      <c r="M22" s="214"/>
      <c r="N22" s="214"/>
      <c r="O22" s="214"/>
      <c r="P22" s="214"/>
      <c r="Q22" s="214"/>
      <c r="R22" s="259" t="s">
        <v>130</v>
      </c>
      <c r="S22" s="260"/>
      <c r="T22" s="260"/>
      <c r="U22" s="260"/>
      <c r="V22" s="261"/>
      <c r="W22" s="5"/>
      <c r="X22" s="5"/>
    </row>
    <row r="23" spans="1:24" ht="33" customHeight="1">
      <c r="A23" s="5"/>
      <c r="B23" s="5"/>
      <c r="C23" s="183"/>
      <c r="D23" s="183"/>
      <c r="E23" s="214" t="s">
        <v>63</v>
      </c>
      <c r="F23" s="214"/>
      <c r="G23" s="263"/>
      <c r="H23" s="263"/>
      <c r="I23" s="263"/>
      <c r="J23" s="263"/>
      <c r="K23" s="263"/>
      <c r="L23" s="215" t="s">
        <v>117</v>
      </c>
      <c r="M23" s="215"/>
      <c r="N23" s="215"/>
      <c r="O23" s="215"/>
      <c r="P23" s="215"/>
      <c r="Q23" s="215"/>
      <c r="R23" s="216"/>
      <c r="S23" s="258"/>
      <c r="T23" s="258"/>
      <c r="U23" s="258"/>
      <c r="V23" s="217"/>
      <c r="W23" s="5"/>
      <c r="X23" s="5"/>
    </row>
    <row r="24" spans="1:24" ht="33" customHeight="1">
      <c r="A24" s="5"/>
      <c r="B24" s="5"/>
      <c r="C24" s="183"/>
      <c r="D24" s="183"/>
      <c r="E24" s="214" t="s">
        <v>64</v>
      </c>
      <c r="F24" s="214"/>
      <c r="G24" s="215"/>
      <c r="H24" s="215"/>
      <c r="I24" s="215"/>
      <c r="J24" s="215"/>
      <c r="K24" s="215"/>
      <c r="L24" s="215" t="s">
        <v>117</v>
      </c>
      <c r="M24" s="215"/>
      <c r="N24" s="215"/>
      <c r="O24" s="215"/>
      <c r="P24" s="215"/>
      <c r="Q24" s="215"/>
      <c r="R24" s="216"/>
      <c r="S24" s="258"/>
      <c r="T24" s="258"/>
      <c r="U24" s="258"/>
      <c r="V24" s="217"/>
      <c r="W24" s="5"/>
      <c r="X24" s="5"/>
    </row>
    <row r="25" spans="1:24" ht="16.5" customHeight="1">
      <c r="A25" s="5"/>
      <c r="B25" s="5"/>
      <c r="C25" s="183" t="s">
        <v>12</v>
      </c>
      <c r="D25" s="183"/>
      <c r="E25" s="214" t="s">
        <v>127</v>
      </c>
      <c r="F25" s="214"/>
      <c r="G25" s="214"/>
      <c r="H25" s="214"/>
      <c r="I25" s="214"/>
      <c r="J25" s="214"/>
      <c r="K25" s="214"/>
      <c r="L25" s="214" t="s">
        <v>128</v>
      </c>
      <c r="M25" s="214"/>
      <c r="N25" s="214"/>
      <c r="O25" s="214"/>
      <c r="P25" s="214"/>
      <c r="Q25" s="214"/>
      <c r="R25" s="214" t="s">
        <v>131</v>
      </c>
      <c r="S25" s="214"/>
      <c r="T25" s="214" t="s">
        <v>112</v>
      </c>
      <c r="U25" s="214"/>
      <c r="V25" s="267" t="s">
        <v>15</v>
      </c>
      <c r="W25" s="5"/>
      <c r="X25" s="5"/>
    </row>
    <row r="26" spans="1:24">
      <c r="A26" s="5"/>
      <c r="B26" s="5"/>
      <c r="C26" s="183"/>
      <c r="D26" s="183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67"/>
      <c r="W26" s="5"/>
      <c r="X26" s="5"/>
    </row>
    <row r="27" spans="1:24" ht="16.5" customHeight="1">
      <c r="A27" s="5"/>
      <c r="B27" s="5"/>
      <c r="C27" s="183"/>
      <c r="D27" s="183"/>
      <c r="E27" s="215"/>
      <c r="F27" s="215"/>
      <c r="G27" s="215"/>
      <c r="H27" s="215"/>
      <c r="I27" s="215"/>
      <c r="J27" s="215"/>
      <c r="K27" s="215"/>
      <c r="L27" s="215" t="s">
        <v>117</v>
      </c>
      <c r="M27" s="215"/>
      <c r="N27" s="215"/>
      <c r="O27" s="215"/>
      <c r="P27" s="215"/>
      <c r="Q27" s="215"/>
      <c r="R27" s="215" t="s">
        <v>118</v>
      </c>
      <c r="S27" s="215"/>
      <c r="T27" s="215" t="s">
        <v>119</v>
      </c>
      <c r="U27" s="215"/>
      <c r="V27" s="215" t="s">
        <v>124</v>
      </c>
      <c r="W27" s="5"/>
      <c r="X27" s="5"/>
    </row>
    <row r="28" spans="1:24">
      <c r="A28" s="5"/>
      <c r="B28" s="5"/>
      <c r="C28" s="183"/>
      <c r="D28" s="183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5"/>
      <c r="X28" s="5"/>
    </row>
    <row r="29" spans="1:24">
      <c r="A29" s="5"/>
      <c r="B29" s="5"/>
      <c r="C29" s="183"/>
      <c r="D29" s="183"/>
      <c r="E29" s="215"/>
      <c r="F29" s="215"/>
      <c r="G29" s="215"/>
      <c r="H29" s="215"/>
      <c r="I29" s="215"/>
      <c r="J29" s="215"/>
      <c r="K29" s="215"/>
      <c r="L29" s="215" t="s">
        <v>117</v>
      </c>
      <c r="M29" s="215"/>
      <c r="N29" s="215"/>
      <c r="O29" s="215"/>
      <c r="P29" s="215"/>
      <c r="Q29" s="215"/>
      <c r="R29" s="215" t="s">
        <v>118</v>
      </c>
      <c r="S29" s="215"/>
      <c r="T29" s="215" t="s">
        <v>120</v>
      </c>
      <c r="U29" s="215"/>
      <c r="V29" s="215" t="s">
        <v>125</v>
      </c>
      <c r="W29" s="5"/>
      <c r="X29" s="5"/>
    </row>
    <row r="30" spans="1:24">
      <c r="A30" s="5"/>
      <c r="B30" s="5"/>
      <c r="C30" s="183"/>
      <c r="D30" s="183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5"/>
      <c r="X30" s="5"/>
    </row>
    <row r="31" spans="1:24">
      <c r="A31" s="5"/>
      <c r="B31" s="5"/>
      <c r="C31" s="183"/>
      <c r="D31" s="183"/>
      <c r="E31" s="215"/>
      <c r="F31" s="215"/>
      <c r="G31" s="215"/>
      <c r="H31" s="215"/>
      <c r="I31" s="215"/>
      <c r="J31" s="215"/>
      <c r="K31" s="215"/>
      <c r="L31" s="215" t="s">
        <v>117</v>
      </c>
      <c r="M31" s="215"/>
      <c r="N31" s="215"/>
      <c r="O31" s="215"/>
      <c r="P31" s="215"/>
      <c r="Q31" s="215"/>
      <c r="R31" s="215" t="s">
        <v>118</v>
      </c>
      <c r="S31" s="215"/>
      <c r="T31" s="215" t="s">
        <v>121</v>
      </c>
      <c r="U31" s="215"/>
      <c r="V31" s="215" t="s">
        <v>125</v>
      </c>
      <c r="W31" s="5"/>
      <c r="X31" s="5"/>
    </row>
    <row r="32" spans="1:24">
      <c r="A32" s="5"/>
      <c r="B32" s="5"/>
      <c r="C32" s="183"/>
      <c r="D32" s="183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5"/>
      <c r="X32" s="5"/>
    </row>
    <row r="33" spans="1:24">
      <c r="A33" s="5"/>
      <c r="B33" s="5"/>
      <c r="C33" s="183"/>
      <c r="D33" s="183"/>
      <c r="E33" s="215"/>
      <c r="F33" s="215"/>
      <c r="G33" s="215"/>
      <c r="H33" s="215"/>
      <c r="I33" s="215"/>
      <c r="J33" s="215"/>
      <c r="K33" s="215"/>
      <c r="L33" s="215" t="s">
        <v>117</v>
      </c>
      <c r="M33" s="215"/>
      <c r="N33" s="215"/>
      <c r="O33" s="215"/>
      <c r="P33" s="215"/>
      <c r="Q33" s="215"/>
      <c r="R33" s="215" t="s">
        <v>118</v>
      </c>
      <c r="S33" s="215"/>
      <c r="T33" s="215" t="s">
        <v>122</v>
      </c>
      <c r="U33" s="215"/>
      <c r="V33" s="215" t="s">
        <v>124</v>
      </c>
      <c r="W33" s="5"/>
      <c r="X33" s="5"/>
    </row>
    <row r="34" spans="1:24" ht="16.5" customHeight="1">
      <c r="A34" s="5"/>
      <c r="B34" s="5"/>
      <c r="C34" s="183"/>
      <c r="D34" s="183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5"/>
      <c r="X34" s="5"/>
    </row>
    <row r="35" spans="1:24" ht="16.5" customHeight="1">
      <c r="A35" s="5"/>
      <c r="B35" s="5"/>
      <c r="C35" s="183"/>
      <c r="D35" s="183"/>
      <c r="E35" s="215"/>
      <c r="F35" s="215"/>
      <c r="G35" s="215"/>
      <c r="H35" s="215"/>
      <c r="I35" s="215"/>
      <c r="J35" s="215"/>
      <c r="K35" s="215"/>
      <c r="L35" s="215" t="s">
        <v>117</v>
      </c>
      <c r="M35" s="215"/>
      <c r="N35" s="215"/>
      <c r="O35" s="215"/>
      <c r="P35" s="215"/>
      <c r="Q35" s="215"/>
      <c r="R35" s="215" t="s">
        <v>118</v>
      </c>
      <c r="S35" s="215"/>
      <c r="T35" s="215" t="s">
        <v>123</v>
      </c>
      <c r="U35" s="215"/>
      <c r="V35" s="215" t="s">
        <v>124</v>
      </c>
      <c r="W35" s="5"/>
      <c r="X35" s="5"/>
    </row>
    <row r="36" spans="1:24" ht="16.5" customHeight="1">
      <c r="A36" s="5"/>
      <c r="B36" s="5"/>
      <c r="C36" s="183"/>
      <c r="D36" s="183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5"/>
      <c r="X36" s="5"/>
    </row>
    <row r="37" spans="1:24" ht="16.5" customHeight="1">
      <c r="A37" s="5"/>
      <c r="B37" s="5"/>
      <c r="C37" s="183" t="s">
        <v>132</v>
      </c>
      <c r="D37" s="183"/>
      <c r="E37" s="265" t="s">
        <v>126</v>
      </c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5"/>
      <c r="X37" s="5"/>
    </row>
    <row r="38" spans="1:24">
      <c r="A38" s="5"/>
      <c r="B38" s="5"/>
      <c r="C38" s="183"/>
      <c r="D38" s="183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5"/>
      <c r="X38" s="5"/>
    </row>
    <row r="39" spans="1:24">
      <c r="A39" s="5"/>
      <c r="B39" s="5"/>
      <c r="C39" s="183"/>
      <c r="D39" s="183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5"/>
      <c r="X39" s="5"/>
    </row>
    <row r="40" spans="1:24">
      <c r="A40" s="5"/>
      <c r="B40" s="5"/>
      <c r="C40" s="183"/>
      <c r="D40" s="183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5"/>
      <c r="X40" s="5"/>
    </row>
    <row r="41" spans="1:24">
      <c r="A41" s="5"/>
      <c r="B41" s="5"/>
      <c r="C41" s="183"/>
      <c r="D41" s="183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5"/>
      <c r="X41" s="5"/>
    </row>
    <row r="42" spans="1:24" ht="16.5" customHeight="1">
      <c r="A42" s="5"/>
      <c r="B42" s="5"/>
      <c r="C42" s="183"/>
      <c r="D42" s="183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5"/>
      <c r="X42" s="5"/>
    </row>
    <row r="43" spans="1:24" ht="24.95" customHeight="1">
      <c r="A43" s="5"/>
      <c r="B43" s="5"/>
      <c r="C43" s="183"/>
      <c r="D43" s="183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5"/>
      <c r="X43" s="5"/>
    </row>
    <row r="44" spans="1:24" ht="24.95" customHeight="1">
      <c r="A44" s="5"/>
      <c r="B44" s="5"/>
      <c r="C44" s="183"/>
      <c r="D44" s="183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5"/>
      <c r="X44" s="5"/>
    </row>
    <row r="45" spans="1:24" ht="24.95" customHeight="1">
      <c r="A45" s="5"/>
      <c r="B45" s="5"/>
      <c r="C45" s="183"/>
      <c r="D45" s="183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5"/>
      <c r="X45" s="5"/>
    </row>
    <row r="46" spans="1:24" ht="24.95" customHeight="1">
      <c r="A46" s="5"/>
      <c r="B46" s="5"/>
      <c r="C46" s="183"/>
      <c r="D46" s="183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5"/>
      <c r="X46" s="5"/>
    </row>
    <row r="47" spans="1:24" ht="24.95" customHeight="1">
      <c r="A47" s="5"/>
      <c r="B47" s="5"/>
      <c r="C47" s="214" t="s">
        <v>133</v>
      </c>
      <c r="D47" s="214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  <c r="W47" s="5"/>
      <c r="X47" s="5"/>
    </row>
    <row r="48" spans="1:24" ht="16.5" customHeight="1">
      <c r="A48" s="5"/>
      <c r="B48" s="5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5"/>
      <c r="X48" s="5"/>
    </row>
    <row r="49" spans="1:24" ht="16.5" customHeight="1">
      <c r="A49" s="5"/>
      <c r="B49" s="5"/>
      <c r="C49" s="264" t="s">
        <v>55</v>
      </c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5"/>
      <c r="X49" s="5"/>
    </row>
    <row r="50" spans="1:24" ht="16.5" customHeight="1">
      <c r="A50" s="5"/>
      <c r="B50" s="5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5"/>
      <c r="X50" s="5"/>
    </row>
    <row r="51" spans="1:24" ht="16.5" customHeight="1">
      <c r="A51" s="5"/>
      <c r="B51" s="5"/>
      <c r="C51" s="268" t="s">
        <v>46</v>
      </c>
      <c r="D51" s="268"/>
      <c r="E51" s="268"/>
      <c r="F51" s="269"/>
      <c r="G51" s="272" t="s">
        <v>65</v>
      </c>
      <c r="H51" s="273"/>
      <c r="I51" s="272" t="s">
        <v>66</v>
      </c>
      <c r="J51" s="273"/>
      <c r="K51" s="1"/>
      <c r="L51" s="278" t="s">
        <v>71</v>
      </c>
      <c r="M51" s="279"/>
      <c r="N51" s="279"/>
      <c r="O51" s="279"/>
      <c r="P51" s="279"/>
      <c r="Q51" s="279"/>
      <c r="R51" s="279"/>
      <c r="S51" s="279"/>
      <c r="T51" s="279"/>
      <c r="U51" s="279"/>
      <c r="V51" s="280"/>
      <c r="W51" s="5"/>
      <c r="X51" s="5"/>
    </row>
    <row r="52" spans="1:24" ht="16.5" customHeight="1">
      <c r="A52" s="5"/>
      <c r="B52" s="5"/>
      <c r="C52" s="270"/>
      <c r="D52" s="270"/>
      <c r="E52" s="270"/>
      <c r="F52" s="271"/>
      <c r="G52" s="274"/>
      <c r="H52" s="275"/>
      <c r="I52" s="274"/>
      <c r="J52" s="275"/>
      <c r="K52" s="67"/>
      <c r="L52" s="281"/>
      <c r="M52" s="282"/>
      <c r="N52" s="282"/>
      <c r="O52" s="282"/>
      <c r="P52" s="282"/>
      <c r="Q52" s="282"/>
      <c r="R52" s="282"/>
      <c r="S52" s="282"/>
      <c r="T52" s="282"/>
      <c r="U52" s="282"/>
      <c r="V52" s="283"/>
      <c r="W52" s="5"/>
      <c r="X52" s="5"/>
    </row>
    <row r="53" spans="1:24" ht="16.5" customHeight="1">
      <c r="A53" s="5"/>
      <c r="B53" s="5"/>
      <c r="C53" s="276" t="s">
        <v>47</v>
      </c>
      <c r="D53" s="277"/>
      <c r="E53" s="277"/>
      <c r="F53" s="277"/>
      <c r="G53" s="277"/>
      <c r="H53" s="277"/>
      <c r="I53" s="277"/>
      <c r="J53" s="277"/>
      <c r="K53" s="277"/>
      <c r="L53" s="72"/>
      <c r="M53" s="67"/>
      <c r="N53" s="212" t="s">
        <v>48</v>
      </c>
      <c r="O53" s="212"/>
      <c r="P53" s="284" t="s">
        <v>50</v>
      </c>
      <c r="Q53" s="284"/>
      <c r="R53" s="67"/>
      <c r="S53" s="67"/>
      <c r="T53" s="67"/>
      <c r="U53" s="67"/>
      <c r="V53" s="69"/>
      <c r="W53" s="5"/>
      <c r="X53" s="5"/>
    </row>
    <row r="54" spans="1:24" ht="16.5" customHeight="1">
      <c r="A54" s="5"/>
      <c r="B54" s="5"/>
      <c r="C54" s="276"/>
      <c r="D54" s="277"/>
      <c r="E54" s="277"/>
      <c r="F54" s="277"/>
      <c r="G54" s="277"/>
      <c r="H54" s="277"/>
      <c r="I54" s="277"/>
      <c r="J54" s="277"/>
      <c r="K54" s="277"/>
      <c r="L54" s="72"/>
      <c r="M54" s="67"/>
      <c r="N54" s="212"/>
      <c r="O54" s="212"/>
      <c r="P54" s="284"/>
      <c r="Q54" s="284"/>
      <c r="R54" s="67"/>
      <c r="S54" s="67"/>
      <c r="T54" s="67"/>
      <c r="U54" s="67"/>
      <c r="V54" s="69"/>
      <c r="W54" s="5"/>
      <c r="X54" s="5"/>
    </row>
    <row r="55" spans="1:24" ht="16.5" customHeight="1">
      <c r="A55" s="5"/>
      <c r="B55" s="5"/>
      <c r="C55" s="73" t="s">
        <v>134</v>
      </c>
      <c r="D55" s="67"/>
      <c r="E55" s="67"/>
      <c r="F55" s="67"/>
      <c r="G55" s="67"/>
      <c r="H55" s="67"/>
      <c r="I55" s="67"/>
      <c r="J55" s="67"/>
      <c r="K55" s="67"/>
      <c r="L55" s="72"/>
      <c r="M55" s="67"/>
      <c r="N55" s="212" t="s">
        <v>49</v>
      </c>
      <c r="O55" s="212"/>
      <c r="P55" s="212" t="s">
        <v>50</v>
      </c>
      <c r="Q55" s="212"/>
      <c r="R55" s="67"/>
      <c r="S55" s="67"/>
      <c r="T55" s="67"/>
      <c r="U55" s="67"/>
      <c r="V55" s="69"/>
      <c r="W55" s="5"/>
      <c r="X55" s="5"/>
    </row>
    <row r="56" spans="1:24" ht="16.5" customHeight="1">
      <c r="A56" s="5"/>
      <c r="B56" s="5"/>
      <c r="C56" s="70"/>
      <c r="D56" s="71"/>
      <c r="E56" s="71"/>
      <c r="F56" s="71"/>
      <c r="G56" s="71"/>
      <c r="H56" s="71"/>
      <c r="I56" s="71"/>
      <c r="J56" s="71"/>
      <c r="K56" s="71"/>
      <c r="L56" s="70"/>
      <c r="M56" s="71"/>
      <c r="N56" s="213"/>
      <c r="O56" s="213"/>
      <c r="P56" s="213"/>
      <c r="Q56" s="213"/>
      <c r="R56" s="71"/>
      <c r="S56" s="71"/>
      <c r="T56" s="71"/>
      <c r="U56" s="71"/>
      <c r="V56" s="68"/>
      <c r="W56" s="5"/>
      <c r="X56" s="5"/>
    </row>
    <row r="57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</sheetData>
  <mergeCells count="89">
    <mergeCell ref="C51:F52"/>
    <mergeCell ref="G51:H52"/>
    <mergeCell ref="I51:J52"/>
    <mergeCell ref="C53:K54"/>
    <mergeCell ref="L51:V52"/>
    <mergeCell ref="N53:O54"/>
    <mergeCell ref="P53:Q54"/>
    <mergeCell ref="V35:V36"/>
    <mergeCell ref="C25:D36"/>
    <mergeCell ref="C37:D46"/>
    <mergeCell ref="E37:V46"/>
    <mergeCell ref="E47:V47"/>
    <mergeCell ref="L27:Q28"/>
    <mergeCell ref="V25:V26"/>
    <mergeCell ref="T25:U26"/>
    <mergeCell ref="R25:S26"/>
    <mergeCell ref="E27:K28"/>
    <mergeCell ref="R27:S28"/>
    <mergeCell ref="T27:U28"/>
    <mergeCell ref="V27:V28"/>
    <mergeCell ref="R29:S30"/>
    <mergeCell ref="T35:U36"/>
    <mergeCell ref="T29:U30"/>
    <mergeCell ref="C49:V50"/>
    <mergeCell ref="V29:V30"/>
    <mergeCell ref="R31:S32"/>
    <mergeCell ref="T31:U32"/>
    <mergeCell ref="V31:V32"/>
    <mergeCell ref="R33:S34"/>
    <mergeCell ref="T33:U34"/>
    <mergeCell ref="V33:V34"/>
    <mergeCell ref="E33:K34"/>
    <mergeCell ref="E35:K36"/>
    <mergeCell ref="L29:Q30"/>
    <mergeCell ref="L31:Q32"/>
    <mergeCell ref="L33:Q34"/>
    <mergeCell ref="L35:Q36"/>
    <mergeCell ref="E29:K30"/>
    <mergeCell ref="E31:K32"/>
    <mergeCell ref="C18:D19"/>
    <mergeCell ref="E18:V19"/>
    <mergeCell ref="S14:V15"/>
    <mergeCell ref="R24:V24"/>
    <mergeCell ref="R23:V23"/>
    <mergeCell ref="R22:V22"/>
    <mergeCell ref="C20:V21"/>
    <mergeCell ref="C22:D24"/>
    <mergeCell ref="E22:K22"/>
    <mergeCell ref="E23:F23"/>
    <mergeCell ref="E24:F24"/>
    <mergeCell ref="G24:K24"/>
    <mergeCell ref="G23:K23"/>
    <mergeCell ref="L22:Q22"/>
    <mergeCell ref="L23:Q23"/>
    <mergeCell ref="L24:Q24"/>
    <mergeCell ref="Q14:R15"/>
    <mergeCell ref="K14:M15"/>
    <mergeCell ref="N14:P15"/>
    <mergeCell ref="K16:M17"/>
    <mergeCell ref="S16:V17"/>
    <mergeCell ref="N16:R17"/>
    <mergeCell ref="F12:G12"/>
    <mergeCell ref="F13:G13"/>
    <mergeCell ref="I13:J13"/>
    <mergeCell ref="C14:D17"/>
    <mergeCell ref="E14:J17"/>
    <mergeCell ref="S13:T13"/>
    <mergeCell ref="U13:V13"/>
    <mergeCell ref="I12:J12"/>
    <mergeCell ref="K12:L12"/>
    <mergeCell ref="M12:P12"/>
    <mergeCell ref="Q12:R12"/>
    <mergeCell ref="S12:V12"/>
    <mergeCell ref="M1:N1"/>
    <mergeCell ref="C7:V10"/>
    <mergeCell ref="N55:O56"/>
    <mergeCell ref="P55:Q56"/>
    <mergeCell ref="C47:D47"/>
    <mergeCell ref="E25:K26"/>
    <mergeCell ref="K13:L13"/>
    <mergeCell ref="M13:P13"/>
    <mergeCell ref="Q13:R13"/>
    <mergeCell ref="D11:J11"/>
    <mergeCell ref="K11:L11"/>
    <mergeCell ref="M11:P11"/>
    <mergeCell ref="Q11:R11"/>
    <mergeCell ref="R35:S36"/>
    <mergeCell ref="L25:Q26"/>
    <mergeCell ref="S11:V11"/>
  </mergeCells>
  <phoneticPr fontId="3" type="noConversion"/>
  <dataValidations count="9">
    <dataValidation type="list" allowBlank="1" showInputMessage="1" showErrorMessage="1" sqref="I12:J13" xr:uid="{1BD38D10-BC53-4452-B2D7-74E2D23BDF5E}">
      <formula1>"경영관리팀, HR팀, 시스템운영팀, 솔루션영업팀, TS팀, CS팀, DT영업팀, 컨설팅팀, 마케팅팀, BIM1팀, FAB1팀, FAB2팀, FAB3팀, FAB4팀, 개발기획팀, 기술연구소"</formula1>
    </dataValidation>
    <dataValidation type="list" allowBlank="1" showInputMessage="1" showErrorMessage="1" sqref="F12:G13" xr:uid="{9B3807D4-1B2D-47C9-A42F-D57D1C364EC5}">
      <formula1>"경영관리그룹,솔루션그룹,컨설팅그룹,BIM그룹,사업기획그룹"</formula1>
    </dataValidation>
    <dataValidation type="list" allowBlank="1" showInputMessage="1" showErrorMessage="1" sqref="D12:D13" xr:uid="{C73979F8-8E12-4895-BBC5-5CEB6F745856}">
      <formula1>"경영관리본부, DT사업본부"</formula1>
    </dataValidation>
    <dataValidation type="list" allowBlank="1" showInputMessage="1" showErrorMessage="1" sqref="S11" xr:uid="{09038989-A7E3-4C9C-ADA3-81C907255620}">
      <formula1>"분기, 긴급"</formula1>
    </dataValidation>
    <dataValidation type="list" allowBlank="1" showInputMessage="1" showErrorMessage="1" sqref="U13:V13" xr:uid="{8007D600-9262-4F71-A907-990D76278518}">
      <formula1>"정규직,계약직,아르바이트"</formula1>
    </dataValidation>
    <dataValidation type="list" allowBlank="1" showInputMessage="1" showErrorMessage="1" sqref="S13:T13" xr:uid="{D2B63D36-6B7D-4600-9838-E30254B3C329}">
      <formula1>"신입, 경력"</formula1>
    </dataValidation>
    <dataValidation type="list" allowBlank="1" showInputMessage="1" showErrorMessage="1" sqref="S14" xr:uid="{39B866D4-AE43-4C8A-A120-FC6A48C805F6}">
      <formula1>"인턴,매니저,책임매니저,팀장"</formula1>
    </dataValidation>
    <dataValidation type="list" allowBlank="1" showInputMessage="1" showErrorMessage="1" sqref="P53" xr:uid="{98625593-6DE3-41C4-BD47-3F52960B8E93}">
      <formula1>"동탄, 평택, 천안, 아산, 탕정, 인천, 기타"</formula1>
    </dataValidation>
    <dataValidation type="list" allowBlank="1" showInputMessage="1" showErrorMessage="1" sqref="P55" xr:uid="{EE3356E3-12C4-4AFA-B955-627C64B97A53}">
      <formula1>"미국, 중국, 기타"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913" r:id="rId4" name="Check Box 17">
              <controlPr defaultSize="0" autoFill="0" autoLine="0" autoPict="0">
                <anchor moveWithCells="1">
                  <from>
                    <xdr:col>8</xdr:col>
                    <xdr:colOff>66675</xdr:colOff>
                    <xdr:row>50</xdr:row>
                    <xdr:rowOff>57150</xdr:rowOff>
                  </from>
                  <to>
                    <xdr:col>9</xdr:col>
                    <xdr:colOff>38100</xdr:colOff>
                    <xdr:row>51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4" r:id="rId5" name="Check Box 18">
              <controlPr defaultSize="0" autoFill="0" autoLine="0" autoPict="0">
                <anchor moveWithCells="1">
                  <from>
                    <xdr:col>10</xdr:col>
                    <xdr:colOff>38100</xdr:colOff>
                    <xdr:row>50</xdr:row>
                    <xdr:rowOff>38100</xdr:rowOff>
                  </from>
                  <to>
                    <xdr:col>11</xdr:col>
                    <xdr:colOff>9525</xdr:colOff>
                    <xdr:row>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7" r:id="rId6" name="Check Box 21">
              <controlPr defaultSize="0" autoFill="0" autoLine="0" autoPict="0">
                <anchor moveWithCells="1">
                  <from>
                    <xdr:col>12</xdr:col>
                    <xdr:colOff>323850</xdr:colOff>
                    <xdr:row>52</xdr:row>
                    <xdr:rowOff>47625</xdr:rowOff>
                  </from>
                  <to>
                    <xdr:col>13</xdr:col>
                    <xdr:colOff>295275</xdr:colOff>
                    <xdr:row>53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8" r:id="rId7" name="Check Box 22">
              <controlPr defaultSize="0" autoFill="0" autoLine="0" autoPict="0">
                <anchor moveWithCells="1">
                  <from>
                    <xdr:col>12</xdr:col>
                    <xdr:colOff>323850</xdr:colOff>
                    <xdr:row>54</xdr:row>
                    <xdr:rowOff>47625</xdr:rowOff>
                  </from>
                  <to>
                    <xdr:col>13</xdr:col>
                    <xdr:colOff>295275</xdr:colOff>
                    <xdr:row>55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14</vt:i4>
      </vt:variant>
    </vt:vector>
  </HeadingPairs>
  <TitlesOfParts>
    <vt:vector size="28" baseType="lpstr">
      <vt:lpstr>채용계획서_솔루션영업팀</vt:lpstr>
      <vt:lpstr>채용계획서_TS팀</vt:lpstr>
      <vt:lpstr>채용계획서_CS팀</vt:lpstr>
      <vt:lpstr>채용계획서_DT영업팀</vt:lpstr>
      <vt:lpstr>채용계획서_컨설팅팀</vt:lpstr>
      <vt:lpstr>채용계획서_마케팅팀</vt:lpstr>
      <vt:lpstr>채용계획서_BIM1팀</vt:lpstr>
      <vt:lpstr>채용계획서_FAB1팀</vt:lpstr>
      <vt:lpstr>채용계획서_FAB2팀</vt:lpstr>
      <vt:lpstr>채용계획서_FAB3팀</vt:lpstr>
      <vt:lpstr>채용계획서_FAB4팀</vt:lpstr>
      <vt:lpstr>채용계획서_개발기획팀</vt:lpstr>
      <vt:lpstr>채용계획서_기술연구소</vt:lpstr>
      <vt:lpstr>채용요청서</vt:lpstr>
      <vt:lpstr>채용계획서_BIM1팀!Print_Area</vt:lpstr>
      <vt:lpstr>채용계획서_CS팀!Print_Area</vt:lpstr>
      <vt:lpstr>채용계획서_DT영업팀!Print_Area</vt:lpstr>
      <vt:lpstr>채용계획서_FAB1팀!Print_Area</vt:lpstr>
      <vt:lpstr>채용계획서_FAB2팀!Print_Area</vt:lpstr>
      <vt:lpstr>채용계획서_FAB3팀!Print_Area</vt:lpstr>
      <vt:lpstr>채용계획서_FAB4팀!Print_Area</vt:lpstr>
      <vt:lpstr>채용계획서_TS팀!Print_Area</vt:lpstr>
      <vt:lpstr>채용계획서_개발기획팀!Print_Area</vt:lpstr>
      <vt:lpstr>채용계획서_기술연구소!Print_Area</vt:lpstr>
      <vt:lpstr>채용계획서_마케팅팀!Print_Area</vt:lpstr>
      <vt:lpstr>채용계획서_솔루션영업팀!Print_Area</vt:lpstr>
      <vt:lpstr>채용계획서_컨설팅팀!Print_Area</vt:lpstr>
      <vt:lpstr>채용요청서!Print_Area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다희</dc:creator>
  <cp:lastModifiedBy>이 경한</cp:lastModifiedBy>
  <cp:lastPrinted>2025-02-26T06:46:10Z</cp:lastPrinted>
  <dcterms:created xsi:type="dcterms:W3CDTF">2023-02-15T00:44:07Z</dcterms:created>
  <dcterms:modified xsi:type="dcterms:W3CDTF">2025-02-27T03:55:20Z</dcterms:modified>
</cp:coreProperties>
</file>